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lient\C$\Users\kevin\Documents\NYU\Spring Classes\Decision Models\Project\"/>
    </mc:Choice>
  </mc:AlternateContent>
  <bookViews>
    <workbookView xWindow="-105" yWindow="-105" windowWidth="19425" windowHeight="10425" firstSheet="1" activeTab="2"/>
  </bookViews>
  <sheets>
    <sheet name="CB_DATA_" sheetId="2" state="veryHidden" r:id="rId1"/>
    <sheet name="Borough Data" sheetId="10" r:id="rId2"/>
    <sheet name="Model" sheetId="11" r:id="rId3"/>
    <sheet name="Data" sheetId="27" r:id="rId4"/>
    <sheet name="Borough_STS" sheetId="12" state="veryHidden" r:id="rId5"/>
    <sheet name="Sheet1_STS" sheetId="7" state="veryHidden" r:id="rId6"/>
  </sheets>
  <functionGroups builtInGroupCount="18"/>
  <definedNames>
    <definedName name="CB_0b4b629df7f844a1a98e68534fa49472" localSheetId="2" hidden="1">#N/A</definedName>
    <definedName name="CB_13a86519f5b14ed3b684e57ae033df9f" localSheetId="2" hidden="1">Model!$E$2</definedName>
    <definedName name="CB_23a27819f64e4dc1ba2195491a3590da" localSheetId="2" hidden="1">Model!$L$1</definedName>
    <definedName name="CB_24e10c6f64c44a0ca64eed94bbfc0653" localSheetId="2" hidden="1">Model!$E$3</definedName>
    <definedName name="CB_4a39434979b34f9a949a1f2fa5741364" localSheetId="2" hidden="1">Model!$L$2</definedName>
    <definedName name="CB_6f6f6e746de7479cb5d262248d45813e" localSheetId="2" hidden="1">Model!$K$2</definedName>
    <definedName name="CB_Block_00000000000000000000000000000000" localSheetId="2" hidden="1">"'7.0.0.0"</definedName>
    <definedName name="CB_Block_00000000000000000000000000000001" localSheetId="0" hidden="1">"'637246401719781445"</definedName>
    <definedName name="CB_Block_00000000000000000000000000000001" localSheetId="2" hidden="1">"'637246401720406474"</definedName>
    <definedName name="CB_Block_00000000000000000000000000000003" localSheetId="2" hidden="1">"'11.1.4716.0"</definedName>
    <definedName name="CB_BlockExt_00000000000000000000000000000003" localSheetId="2" hidden="1">"'11.1.2.4.850"</definedName>
    <definedName name="CB_dd1c9b9dc4314eaea5868cdb7182aafb" localSheetId="2" hidden="1">Model!$Q$34</definedName>
    <definedName name="CB_ed196d55f0b74e4eb0896d85dd60c9cd" localSheetId="2" hidden="1">Model!$E$4</definedName>
    <definedName name="CBCR_0b3d981eec4a4e50b180512024645c50" localSheetId="2" hidden="1">Model!$H$4</definedName>
    <definedName name="CBCR_6624aa4e18b042dda3d815cacf1d990c" localSheetId="2" hidden="1">Model!$H$2</definedName>
    <definedName name="CBCR_662594678886415b9c665e39dac55010" localSheetId="2" hidden="1">Model!$F$2</definedName>
    <definedName name="CBCR_82c3617e6b7f405d8284ef1e3a2b93b3" localSheetId="2" hidden="1">Model!$G$2</definedName>
    <definedName name="CBCR_93bd447f54424138854d7c5a4ca8db9d" localSheetId="2" hidden="1">Model!$F$4</definedName>
    <definedName name="CBCR_b2a30fc41bce4db9b1fe2f8697e331e0" localSheetId="2" hidden="1">Model!$J$5:$N$5</definedName>
    <definedName name="CBCR_b8104629b3e34c5289d881184c3ef476" localSheetId="2" hidden="1">Model!$F$3</definedName>
    <definedName name="CBCR_c18a627b1e774b6992041b8cd6c6651c" localSheetId="2" hidden="1">Model!$G$4</definedName>
    <definedName name="CBCR_da8b5d292e2b469f84873cbdb1183af1" localSheetId="2" hidden="1">Model!$H$3</definedName>
    <definedName name="CBCR_dfb68e177c294d71a06fc673de709cbc" localSheetId="2" hidden="1">Model!$G$3</definedName>
    <definedName name="CBWorkbookPriority" localSheetId="0" hidden="1">-1746037825487200</definedName>
    <definedName name="CBx_13712d62b9ef4a9eb64f586a2f674ea3" localSheetId="0" hidden="1">"'Sheet1'!$A$1"</definedName>
    <definedName name="CBx_30dbd0c25c57404db61511204e8dfda6" localSheetId="0" hidden="1">"'CB_DATA_'!$A$1"</definedName>
    <definedName name="CBx_4b4b29c767414bd6b0e9dec0590e2fbb" localSheetId="0" hidden="1">"'Model'!$A$1"</definedName>
    <definedName name="CBx_Sheet_Guid" localSheetId="0" hidden="1">"'30dbd0c2-5c57-404d-b615-11204e8dfda6"</definedName>
    <definedName name="CBx_Sheet_Guid" localSheetId="2" hidden="1">"'4b4b29c7-6741-4bd6-b0e9-dec0590e2fbb"</definedName>
    <definedName name="CBx_SheetRef" localSheetId="0" hidden="1">CB_DATA_!$A$14</definedName>
    <definedName name="CBx_SheetRef" localSheetId="2" hidden="1">CB_DATA_!$C$14</definedName>
    <definedName name="CBx_StorageType" localSheetId="0" hidden="1">2</definedName>
    <definedName name="CBx_StorageType" localSheetId="2" hidden="1">2</definedName>
    <definedName name="solver_adj" localSheetId="3" hidden="1">Data!$P$7:$P$16,Data!$S$7:$S$16,Data!$V$7:$V$16,Data!$Y$7:$Y$16,Data!$AB$7:$AB$16</definedName>
    <definedName name="solver_adj" localSheetId="2" hidden="1">Model!$Q$7:$Q$16,Model!$T$7:$T$16,Model!$W$7:$W$16,Model!$Z$7:$Z$16,Model!$AC$7:$AC$16</definedName>
    <definedName name="solver_cvg" localSheetId="2" hidden="1">0.0001</definedName>
    <definedName name="solver_drv" localSheetId="2" hidden="1">1</definedName>
    <definedName name="solver_eng" localSheetId="3" hidden="1">2</definedName>
    <definedName name="solver_eng" localSheetId="2" hidden="1">2</definedName>
    <definedName name="solver_est" localSheetId="2" hidden="1">1</definedName>
    <definedName name="solver_itr" localSheetId="2" hidden="1">2147483647</definedName>
    <definedName name="solver_lhs1" localSheetId="2" hidden="1">Model!$AC$20:$AC$29</definedName>
    <definedName name="solver_lhs10" localSheetId="2" hidden="1">Model!$Z$20:$Z$29</definedName>
    <definedName name="solver_lhs11" localSheetId="2" hidden="1">Model!$Z$7:$Z$14</definedName>
    <definedName name="solver_lhs2" localSheetId="2" hidden="1">Model!$AC$7:$AC$14</definedName>
    <definedName name="solver_lhs3" localSheetId="2" hidden="1">Model!$AG$7:$AG$16</definedName>
    <definedName name="solver_lhs4" localSheetId="2" hidden="1">Model!$Q$20:$Q$29</definedName>
    <definedName name="solver_lhs5" localSheetId="2" hidden="1">Model!$Q$7:$Q$14</definedName>
    <definedName name="solver_lhs6" localSheetId="2" hidden="1">Model!$T$20:$T$29</definedName>
    <definedName name="solver_lhs7" localSheetId="2" hidden="1">Model!$T$7:$T$14</definedName>
    <definedName name="solver_lhs8" localSheetId="2" hidden="1">Model!$W$20:$W$29</definedName>
    <definedName name="solver_lhs9" localSheetId="2" hidden="1">Model!$W$7:$W$14</definedName>
    <definedName name="solver_mip" localSheetId="2" hidden="1">2147483647</definedName>
    <definedName name="solver_mni" localSheetId="2" hidden="1">30</definedName>
    <definedName name="solver_mrt" localSheetId="2" hidden="1">0.075</definedName>
    <definedName name="solver_msl" localSheetId="2" hidden="1">2</definedName>
    <definedName name="solver_neg" localSheetId="2" hidden="1">1</definedName>
    <definedName name="solver_nod" localSheetId="2" hidden="1">2147483647</definedName>
    <definedName name="solver_num" localSheetId="2" hidden="1">11</definedName>
    <definedName name="solver_nwt" localSheetId="2" hidden="1">1</definedName>
    <definedName name="solver_opt" localSheetId="3" hidden="1">Data!$P$34</definedName>
    <definedName name="solver_opt" localSheetId="2" hidden="1">Model!$Q$34</definedName>
    <definedName name="solver_pre" localSheetId="2" hidden="1">0.000001</definedName>
    <definedName name="solver_rbv" localSheetId="2" hidden="1">1</definedName>
    <definedName name="solver_rel1" localSheetId="2" hidden="1">3</definedName>
    <definedName name="solver_rel10" localSheetId="2" hidden="1">3</definedName>
    <definedName name="solver_rel11" localSheetId="2" hidden="1">3</definedName>
    <definedName name="solver_rel2" localSheetId="2" hidden="1">3</definedName>
    <definedName name="solver_rel3" localSheetId="2" hidden="1">1</definedName>
    <definedName name="solver_rel4" localSheetId="2" hidden="1">3</definedName>
    <definedName name="solver_rel5" localSheetId="2" hidden="1">3</definedName>
    <definedName name="solver_rel6" localSheetId="2" hidden="1">3</definedName>
    <definedName name="solver_rel7" localSheetId="2" hidden="1">3</definedName>
    <definedName name="solver_rel8" localSheetId="2" hidden="1">3</definedName>
    <definedName name="solver_rel9" localSheetId="2" hidden="1">3</definedName>
    <definedName name="solver_rhs1" localSheetId="2" hidden="1">0</definedName>
    <definedName name="solver_rhs10" localSheetId="2" hidden="1">0</definedName>
    <definedName name="solver_rhs11" localSheetId="2" hidden="1">Model!$AB$7:$AB$14</definedName>
    <definedName name="solver_rhs2" localSheetId="2" hidden="1">Model!$AE$7:$AE$14</definedName>
    <definedName name="solver_rhs3" localSheetId="2" hidden="1">Model!$AI$7:$AI$16</definedName>
    <definedName name="solver_rhs4" localSheetId="2" hidden="1">0</definedName>
    <definedName name="solver_rhs5" localSheetId="2" hidden="1">Model!$S$7:$S$14</definedName>
    <definedName name="solver_rhs6" localSheetId="2" hidden="1">0</definedName>
    <definedName name="solver_rhs7" localSheetId="2" hidden="1">Model!$V$7:$V$14</definedName>
    <definedName name="solver_rhs8" localSheetId="2" hidden="1">0</definedName>
    <definedName name="solver_rhs9" localSheetId="2" hidden="1">Model!$Y$7:$Y$14</definedName>
    <definedName name="solver_rlx" localSheetId="2" hidden="1">2</definedName>
    <definedName name="solver_rsd" localSheetId="2" hidden="1">0</definedName>
    <definedName name="solver_scl" localSheetId="2" hidden="1">1</definedName>
    <definedName name="solver_sho" localSheetId="2" hidden="1">2</definedName>
    <definedName name="solver_ssz" localSheetId="2" hidden="1">100</definedName>
    <definedName name="solver_tim" localSheetId="2" hidden="1">2147483647</definedName>
    <definedName name="solver_tol" localSheetId="2" hidden="1">0.01</definedName>
    <definedName name="solver_typ" localSheetId="3" hidden="1">2</definedName>
    <definedName name="solver_typ" localSheetId="2" hidden="1">2</definedName>
    <definedName name="solver_val" localSheetId="3" hidden="1">0</definedName>
    <definedName name="solver_val" localSheetId="2" hidden="1">0</definedName>
    <definedName name="solver_ver" localSheetId="2" hidden="1">3</definedName>
  </definedNames>
  <calcPr calcId="1629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P2" i="2" l="1"/>
  <c r="C11" i="2" l="1"/>
  <c r="AG9" i="11" l="1"/>
  <c r="AG7" i="11"/>
  <c r="AG8" i="11"/>
  <c r="AG10" i="11"/>
  <c r="AG11" i="11"/>
  <c r="AG12" i="11"/>
  <c r="AG13" i="11"/>
  <c r="AG14" i="11"/>
  <c r="AG15" i="11"/>
  <c r="AG16" i="11"/>
  <c r="AG6" i="11"/>
  <c r="E9" i="11"/>
  <c r="E16" i="11"/>
  <c r="E13" i="11"/>
  <c r="E14" i="11"/>
  <c r="E15" i="11"/>
  <c r="E10" i="11"/>
  <c r="E11" i="11"/>
  <c r="E12" i="11"/>
  <c r="E8" i="11"/>
  <c r="D6" i="11"/>
  <c r="E7" i="11" s="1"/>
  <c r="G6" i="11"/>
  <c r="D3" i="10"/>
  <c r="D4" i="10"/>
  <c r="D5" i="10"/>
  <c r="D6" i="10"/>
  <c r="D2" i="10"/>
  <c r="C8" i="11" l="1"/>
  <c r="F8" i="11" s="1"/>
  <c r="G8" i="11" s="1"/>
  <c r="J8" i="11" s="1"/>
  <c r="Q21" i="11" s="1"/>
  <c r="C13" i="11"/>
  <c r="C15" i="11"/>
  <c r="C9" i="11"/>
  <c r="F9" i="11" s="1"/>
  <c r="G9" i="11" s="1"/>
  <c r="C11" i="11"/>
  <c r="F11" i="11" s="1"/>
  <c r="C14" i="11"/>
  <c r="C10" i="11"/>
  <c r="F10" i="11" s="1"/>
  <c r="C7" i="11"/>
  <c r="F7" i="11" s="1"/>
  <c r="G7" i="11" s="1"/>
  <c r="C16" i="11"/>
  <c r="C12" i="11"/>
  <c r="F12" i="11" s="1"/>
  <c r="J6" i="11"/>
  <c r="L6" i="11"/>
  <c r="K6" i="11"/>
  <c r="M6" i="11"/>
  <c r="N6" i="11"/>
  <c r="M7" i="11" l="1"/>
  <c r="AB7" i="11" s="1"/>
  <c r="N8" i="11"/>
  <c r="AC21" i="11" s="1"/>
  <c r="M8" i="11"/>
  <c r="Z21" i="11" s="1"/>
  <c r="L8" i="11"/>
  <c r="W21" i="11" s="1"/>
  <c r="K8" i="11"/>
  <c r="T21" i="11" s="1"/>
  <c r="N7" i="11"/>
  <c r="AE7" i="11" s="1"/>
  <c r="K7" i="11"/>
  <c r="L7" i="11"/>
  <c r="J7" i="11"/>
  <c r="S7" i="11" s="1"/>
  <c r="G11" i="11"/>
  <c r="N11" i="11" s="1"/>
  <c r="AC24" i="11" s="1"/>
  <c r="F16" i="11"/>
  <c r="F14" i="11"/>
  <c r="G10" i="11"/>
  <c r="J10" i="11" s="1"/>
  <c r="Q23" i="11" s="1"/>
  <c r="F15" i="11"/>
  <c r="G12" i="11"/>
  <c r="F13" i="11"/>
  <c r="Y7" i="11" l="1"/>
  <c r="W20" i="11"/>
  <c r="V7" i="11"/>
  <c r="T20" i="11"/>
  <c r="AB8" i="11"/>
  <c r="Z20" i="11"/>
  <c r="V8" i="11"/>
  <c r="AE8" i="11"/>
  <c r="S8" i="11"/>
  <c r="Y8" i="11"/>
  <c r="Q20" i="11"/>
  <c r="AC20" i="11"/>
  <c r="K9" i="11"/>
  <c r="N9" i="11"/>
  <c r="M11" i="11"/>
  <c r="Z24" i="11" s="1"/>
  <c r="K11" i="11"/>
  <c r="T24" i="11" s="1"/>
  <c r="J11" i="11"/>
  <c r="L11" i="11"/>
  <c r="W24" i="11" s="1"/>
  <c r="N10" i="11"/>
  <c r="K10" i="11"/>
  <c r="T23" i="11" s="1"/>
  <c r="J9" i="11"/>
  <c r="K12" i="11"/>
  <c r="T25" i="11" s="1"/>
  <c r="N12" i="11"/>
  <c r="J12" i="11"/>
  <c r="Q25" i="11" s="1"/>
  <c r="M12" i="11"/>
  <c r="Z25" i="11" s="1"/>
  <c r="L12" i="11"/>
  <c r="W25" i="11" s="1"/>
  <c r="G15" i="11"/>
  <c r="G14" i="11"/>
  <c r="M9" i="11"/>
  <c r="M10" i="11"/>
  <c r="Z23" i="11" s="1"/>
  <c r="G16" i="11"/>
  <c r="L9" i="11"/>
  <c r="L10" i="11"/>
  <c r="W23" i="11" s="1"/>
  <c r="G13" i="11"/>
  <c r="B11" i="2"/>
  <c r="A11" i="2"/>
  <c r="AE12" i="11" l="1"/>
  <c r="AC25" i="11"/>
  <c r="AE11" i="11"/>
  <c r="AC23" i="11"/>
  <c r="Y9" i="11"/>
  <c r="W22" i="11"/>
  <c r="AE9" i="11"/>
  <c r="AC22" i="11"/>
  <c r="AB9" i="11"/>
  <c r="Z22" i="11"/>
  <c r="S9" i="11"/>
  <c r="Q22" i="11"/>
  <c r="S11" i="11"/>
  <c r="Q24" i="11"/>
  <c r="V9" i="11"/>
  <c r="T22" i="11"/>
  <c r="AE21" i="11"/>
  <c r="AE20" i="11"/>
  <c r="L2" i="11"/>
  <c r="V10" i="11"/>
  <c r="AB11" i="11"/>
  <c r="AB10" i="11"/>
  <c r="V12" i="11"/>
  <c r="AB12" i="11"/>
  <c r="V11" i="11"/>
  <c r="Y12" i="11"/>
  <c r="S12" i="11"/>
  <c r="AE10" i="11"/>
  <c r="Y11" i="11"/>
  <c r="Y10" i="11"/>
  <c r="S10" i="11"/>
  <c r="K16" i="11"/>
  <c r="T29" i="11" s="1"/>
  <c r="L16" i="11"/>
  <c r="W29" i="11" s="1"/>
  <c r="M16" i="11"/>
  <c r="Z29" i="11" s="1"/>
  <c r="J16" i="11"/>
  <c r="Q29" i="11" s="1"/>
  <c r="N16" i="11"/>
  <c r="AC29" i="11" s="1"/>
  <c r="L15" i="11"/>
  <c r="W28" i="11" s="1"/>
  <c r="M15" i="11"/>
  <c r="Z28" i="11" s="1"/>
  <c r="J15" i="11"/>
  <c r="Q28" i="11" s="1"/>
  <c r="N15" i="11"/>
  <c r="AC28" i="11" s="1"/>
  <c r="K15" i="11"/>
  <c r="T28" i="11" s="1"/>
  <c r="J13" i="11"/>
  <c r="K13" i="11"/>
  <c r="N13" i="11"/>
  <c r="M13" i="11"/>
  <c r="L13" i="11"/>
  <c r="K14" i="11"/>
  <c r="T27" i="11" s="1"/>
  <c r="M14" i="11"/>
  <c r="Z27" i="11" s="1"/>
  <c r="J14" i="11"/>
  <c r="Q27" i="11" s="1"/>
  <c r="N14" i="11"/>
  <c r="AC27" i="11" s="1"/>
  <c r="L14" i="11"/>
  <c r="W27" i="11" s="1"/>
  <c r="AE13" i="11" l="1"/>
  <c r="AC26" i="11"/>
  <c r="V13" i="11"/>
  <c r="T26" i="11"/>
  <c r="Y13" i="11"/>
  <c r="W26" i="11"/>
  <c r="S13" i="11"/>
  <c r="Q26" i="11"/>
  <c r="AB13" i="11"/>
  <c r="Z26" i="11"/>
  <c r="AE23" i="11"/>
  <c r="AE22" i="11"/>
  <c r="AE24" i="11"/>
  <c r="AE25" i="11"/>
  <c r="V14" i="11"/>
  <c r="AB15" i="11"/>
  <c r="V15" i="11"/>
  <c r="AB16" i="11"/>
  <c r="AB14" i="11"/>
  <c r="V16" i="11"/>
  <c r="S14" i="11"/>
  <c r="Y14" i="11"/>
  <c r="S15" i="11"/>
  <c r="S16" i="11"/>
  <c r="AE15" i="11"/>
  <c r="AE16" i="11"/>
  <c r="AE14" i="11"/>
  <c r="Y15" i="11"/>
  <c r="Y16" i="11"/>
  <c r="AI14" i="11"/>
  <c r="AI10" i="11"/>
  <c r="AI6" i="11"/>
  <c r="AI16" i="11"/>
  <c r="AI12" i="11"/>
  <c r="AI8" i="11"/>
  <c r="AI13" i="11"/>
  <c r="AI9" i="11"/>
  <c r="AI15" i="11"/>
  <c r="AI11" i="11"/>
  <c r="AI7" i="11"/>
  <c r="AE26" i="11" l="1"/>
  <c r="AE29" i="11"/>
  <c r="AE27" i="11"/>
  <c r="AE28" i="11"/>
  <c r="T32" i="11"/>
  <c r="Q32" i="11"/>
  <c r="Z32" i="11"/>
  <c r="W32" i="11"/>
  <c r="AC32" i="11"/>
  <c r="Q34" i="11" l="1"/>
</calcChain>
</file>

<file path=xl/sharedStrings.xml><?xml version="1.0" encoding="utf-8"?>
<sst xmlns="http://schemas.openxmlformats.org/spreadsheetml/2006/main" count="176" uniqueCount="78">
  <si>
    <t>Crystal Ball Data</t>
  </si>
  <si>
    <t>Workbook Variables</t>
  </si>
  <si>
    <t>Last Var Column</t>
  </si>
  <si>
    <t xml:space="preserve">    Name:</t>
  </si>
  <si>
    <t xml:space="preserve">    Value:</t>
  </si>
  <si>
    <t>Worksheet Data</t>
  </si>
  <si>
    <t>Last Data Column Used</t>
  </si>
  <si>
    <t>Sheet Ref</t>
  </si>
  <si>
    <t>Sheet Guid</t>
  </si>
  <si>
    <t>Deleted sheet count</t>
  </si>
  <si>
    <t>Last row used</t>
  </si>
  <si>
    <t>Data blocks</t>
  </si>
  <si>
    <t>30dbd0c2-5c57-404d-b615-11204e8dfda6</t>
  </si>
  <si>
    <t>CB_Block_0</t>
  </si>
  <si>
    <t>㜸〱敤㕣㕢㙣ㅣ㔷ㄹ摥ㄹ敦慥㜷搶㜶散挶㑥搲愴㌷昷㝥㜱戴㡤搳愴ㄷ㑡㐸㝤㘹㉥慤ㄳ㍢戱㤳㔲㤵戲ㅤ敦㥥戱㈷搹㤹㜵㘶㘶㥤戸ㄴ㥡㐲㘹㈹㔰愱ㄶ㈱㘸㈹㔰㔵愸㠲ㄷ㔰㜹愸㕡㈸㐲㐸㐸㈰㘸㠱㠷ち挱〳㔲愹㄰㍣㠰㔰㈴㕥晡㔰愹㝣摦㤹㤹摤搹㕤敦搸摤戶攰㈲㑦戲㝦捥㥣晢㌹晦昵晣晦㤹㈴㤴㐴㈲昱づㅥ晥换㈷挹挴㠵搳㑢慥㈷慣摣㔸戹㔴ㄲ〵捦㉣摢㙥㙥挴㜱昴愵〹搳昵㍡㔰㈱㥤㌷㔱敥愶昲慥㜹扦挸攴ㄷ㠵攳愲㔲㉡㤱挸㘴㌴ㄵ攵散㠴扦扥昰㐵㘳慢敥㈴挰捣搸攸攴散〹昴㍡敤㤵ㅤ戱㝤昰戸摦㜶捦昰㜰㙥㌸户敢愶攱ㅢ㜳㍢戶て㡥㔵㑡㕥挵ㄱ㝢㙣㔱昱ㅣ扤戴㝤㜰慡㌲㕢㌲ぢ㜷㡡愵㤹昲㐹㘱敦ㄱ戳㍢㙥㤸搵㜷摤㍣扣㙢昷㙥攳㤶㕢㙥敥挶搰㠹挳㘳愳㔳㡥㌰摣昷愹捦ㄴ愷扣㙢㕣ㄴ㑣慥㑤〸挷戴攷㜲㘳愳昸ㅢ㤹㍦摥㙥捡㑤捦ぢ攱㜱㘸攱〸扢㈰㕣つつ扢慣ㄱ搷慤㔸ぢ摣㍣捤摡㠷愵ㄶ㜴搷㑢㔹㘳愲㔴搲慣戰搷㡣㌵㠹扤㉢改㑢摤搶戴戰㕤搳㌳ㄷ㑤㙦㈹㙤捤愰愳㘲㡦㜵捣ㄵ㐷㜵㝢㑥ㅣ搶㉤㤱戲昶㔷捣㘲搲㝦ㄲㅤ㔷㠷㕤㐴㈷㈶㤷㥦ㅢ㜱慤戱㜹摤㤱㌳㜲戹㌱㌱㜵昷㌹㠵晡扡㤷户敥㤷㔳㤷㈳戰捦㉢㕢搷㐳挹㜱摤愹搶ㅣ㙡㕤㌳㔸㝣晤っ慥㙦㕤㍦戲㐷昵㙤慥㙤摤㐶㙥㘵㝤㙤愵㉢愰㙦戹愳㔸㡣㤶㈶攸㈴挸㄰㄰㠱㕡㤶愰㡢愰ㅢ㐰㐹晥ㅢ㕣ㄲ㙤挸㈲㌵慦慢昹㔹㌵㕦㔰昳㐵㌵㉦搴扣愱收攷搴晣扣㥡㌷搵晣〹㌵㝦ㄲ㜵挲㈷搳搹愹〶捦敦㥥摥戲改㡤㍤昷ㅣ晥攱ㅦ扦昶收攳ㄳ扦昹㔹昷〶㔴㍡ㄲ㑣㙡摣搱㑦㠳搴㙡㔴扣㌳户㠳㝦㔶收ち㌰㠵戱摢戸挹ㄸㅥ㉥敥摥愱摦愰愷戸慣ㄸ攴搷ㄱ㑡ㅦ敡㜶ㅢ㜷㤹㜶戱㝣㕡攲敥挲㔱摤ㄵ戵㡤ㅢち捡㐶换ㄵ扢攸㕥戰㝣攱戴愷㝢㘲㕢㘳㔹慤㤳愶㘶搳㘰㉢攱捡昱㉥㙥㙣㜶㕣㉦㔵挴挸ㄹ搳㉦扥愸愱搸㥡㜲捡戳慤㑢昷㌹攲㔴戵戴㘹㐶㈳㄰㙡㡢戲敦愶㔵晡㐵晥扣〶挷收换慥戰攵昴㠶慣㈹戳㜰㔲㌸搳㠲㈲㔱ㄴ攵㔲㌷戱㈸攰晡愱㐹ㅢぢ〵户ㄶ㉦㡢收ㅡ户㥦昱挰捣愲㠸昹㉥〸挷㕢㥡搱㘷㑢㘲㜳㕤ㄵ㝦㑣ㄴ㙣慤换摥㔷㉥㔴摣戱戲敤㌹攵㔲㝤挹㐸㜱㔱㠷愴㈹ㅥ㉡ㄷ㐵㌲㤹㤰㐲〱〲户愳㐳㔱ㄲ搷戵收〵㠹㠸〸㡡挹挸攷搷㤳㕤敥㈸㔶㠷㔵㤴〴㘹㔲扤㘲㠵捥㌸㕦㈹㘳㘲㌸㌰戲㈶敡てづ㝡捤ち摤㔶㌱昷挱㔶㔶搵晥㘰昵户㉦ち摢㍢愰摢挵㤲㜰㘲戵㥦挲ㄹ㘹扤〰愹㜳㄰〸㉤㜷㡦慡㑥㌹愳㉣愵㑥㥢㐵㙦㍥㍤㉦捣戹㜹て㜹搰㤰㤹っ户戶改搱捥㐳㤶戶㤱愰ㅦ㈰㥢㑤愴〷㔸㈹㥤挵㤳㐸㔱㍡挵昰㜲㥤㈰㘷扢㍡㕥敥㌶昶㤹㈵㑦昸㐲戹搷〰㐶㝣慤㈶搱搷㐳ㄲ㜵昴㠲慦㌰〶㡣㌱㔰愹㙥摡摥㔲㡤㙦㥢戸挴㈷愲㜵㔹戰收㘴〱㐵㐱扤㍣㠸攱㌵㄰㑤㠳㌴㠸慦ㅣ㈱㈲戲㐱㡣㘶㐷捦昵㐴挶晡㌱㌲〲昵愳㐴挸摡㍢㕡换〸ㄲ㝢㌳㤱戲㔱㑢㝥㕣㤷㘶换搹昲扥㌴摢㠴㡤搳㌶ㄳ㙣㈱㌸㥦㘰㉢㠰昲㌷㐸㌸㑡㌹愴敢ㅦ敤〲扣㙢ㄷㄲ㕣〴〰昹愴㔱收〴愲㡡㌶搴㙡散㐸搶敢㠱㥤㉣㡤㘲㕦ㄴ搱㌲慥摡㤹㍤㤶㐴㜴㘰㜵慥つ㕤㥢㤴㍡昶慡搶戴ㄹ㕤づ㈹㌲愶㙡㜴慤㉢㔴㡤㙥〴慢戶愹户㉥㐱㔳㙤㤰攰㔲〰㕦戱搰搸㕤㥤㌵㑦㜳昲㐳㘱ㄲ昹㠶㔰㥢捡㍤㈰㘲㥡晦㌱〲慥改攸戲㙥㍦搳ㄴㅣ㌲㍥昴昶昳昶搶扣ㅤ㈰扤㐱㘷慥敢ㅣ晡㡡摥愵〵㝤ㄹ搸㑢昹㜳㑢晤㜲〵㡡戵㉢〹慥〲㘸搰㉦㍣㜹扦㕢㉦㠱㌴㠹慤〸收㌶搲攳㈲㉤摣㤹愵〵㈱戵㑦户㌱愳㍢㜳挲㠳昷攲攰㌸散攰戲攳㠸ㄲづ戴㐵㤹挱戳换㤶晡㑣㜷㥦㔳戶㤸扦㙥ㅦ扢ㅦち挵㤰㑣慡ㅤ㠹〶晢㌸挶捥㡣昸㥢㈲㤴㐳晤㝢㐳㙢㈱ㄱ㘹㔴㑦㕥㙣ㄷ㝦戶㕣㤷㈴㙤㐸㤲㙢戰慤摡戵〰㤰ㄲ捡ㅦ㕡㑡㤴㈱㔶摢㉥慢搵㕢慢昴敥挵㥣㑣ㅡ晣㠷㑤㜲愴换㜷搶㡥挲㜷攰昶㔸搳愶㔵ㄵㄶ㕤搶㤴㜰ち昰㉢㤸㈵㤱昵㕤戲ㄴ㌵敢戲攲㐳㈲㉢㍡㍡㥡捥搲㌱扥㌵㐹㈷つ㔲㈲㤶摢㘳ぢ㘳捥攱㌵愲愲ぢ㤲㐲㈵挶㉤㔴㤵㐰愴㍣搶㕤ㄷ㌱㙤㠸㤸ㅣ㌶㑥扢㥥㘰〷挱㌰㐰敡户㤰㌴慢摤㜸㠶挲㍡ㄷ改捥捥攷ㄳㄹ愲㐱扡〷㕦㙢㈹慣㜶㜱㤸摤〴㌷〲㌴㤸㍦㜴㍥挶㄰愲㐴㜹㠴㄰㘹㉤㘹挶㜱㔳㥣㈶つ㙣㌰㄰㔴ㅡ慢戸㕥搹㘲㔴愹挷ㄸ㉦ㅦ㉥㝢攳愶扢㠰㈸㔴扦ㄱ㈴敥㥡ㄷ㌶愸换㠱敤搳㤰㔷㕥㔸㄰㐵捤㤸㉥㔷㈰摡づ㡥慦㠵㐳㌹搶〷㕢㔲㥥换㔵〵㑦㝢㘷㘳㜴愱挸ㄳ㌱㝣慤昴挴慥捡昳捤㐳㕦㙦㙤㐷㘷㑣慦㈴扡っ㥦改㤸捥ㄸ搸㐵㐴つ㡡㥤挶捣扣㈳挴㜸㡦戱摦㌱㡢㈵搳ㄶ㐴〶㙣㑣〶敡㈶挴ㅣ㈲〴㔳㘵挶晦捡㜶㡦㌱攳攸戶扢愰㌳㤸戸戴戱敥㑤㠶㐴㔲挶愸㘹扢ㄸ㐶㘲㤱改㕥㘳㝡扥㝣ㅡ搱摡㡡㘵敦搷ㄷ摣㌵㠱ㄵㄲ扤晦㐸搴㈸慡愲慡㑡㐶捤戴㡢ㅦㅥ挸ㄳ㠹㥤昸㈵〹㈴慥ㄲ㈹晡换㘳戴㌷敤晡㈰㍥㐳㍢㥤㜳敡㐶攴愸㥡搹ㄱ㉢㠵挹愹摡捤㙣㜳ぢ挰ㅤ晢㡦ㅤ慣㐵攵摥㔳扣㍡㐵て㝦㡣㡣㤷㘴㔱つ㠲搰㍦户挱㈷ㄵ收㤱㜲挰㠱挰㌸摦ㅡ挹㉦㙢挸㍡愴扥つ戵攴㍥㐴㤱扡㡤〹㝤㔶㤴㄰㡢戶㜴㙦㠳晦㐲㌳搶搲㑢㙥㔰㌶㔶戶㉣㥤愴㐵戲㥣㉥攸愴攰㤱㡡㔷㍥㘴摡㥡〱㈰改㉦挸搲捦㈰㑢㍦㈳戳扡㡤愳っぢ捡㌴晢㉡捦改㡥改捤㕢㘶㈱挳ㄷ㠶敥搶〴㑤㠲挹㈹㜹挳㈷㤴ㄹ㠳つ搶晣㌱㤸㙣㙥づ攸捥㐱㡥㜲敢㠸㝥㔰慥慡愴昱㐷㘹搳戱〴〱㈳扤愴摡慤攸㉤㈵㙦㐶㐰攴挸攷㕣㜸晦攲摣㠳挸昱晤㜲挴㝡っ㠹挰㈳ㄸㄱ昲㜴㙦愷㡤㘳戶改〱㝢挴搸㍥搳ㅢ㜷㠱㜲〰㈴攵昱㜶㥢挴㙡愴搱㔰㔵㉢㕣搲㕣㔴愷㈶㉥㙥㉥㡦敡㡤㉢㤶㈹昶㌵㑡㐴㤱慣㔴㐹㙡㤶㘵收戸㤶㔴㡤㈲ㄵ㜷愸㙤㤴㌸户㘹㙤摦㈹㐵摥㠳㘲㤲㌴㤳搰昶㐸㐲㐱㤰㤷搴〱ㅤ㐵㝦㝤㍣㜹㐴愲㌵戴〱戲搴㔳㝥㕥㑦㄰づ㍣㠸㉢㈷㐵㤱つ摥挰摦ㅢ㠲攴㘴挵慢㉢搱捦昴〷㈵㈳愵搲愴つ㉢愱愰㍢挵㌵挲搲㔸㥢慦㘱㈴㜷戶慢晤晤敤㡤㌰㘲挰㠶っ㠹挴昸㠱挱㠶㘰慥㐸㌴㤵搶㔹て户扡㥡㥤攱摢㈱愱摢ㄲ〳搳㕥㜱㕣㉣㑡㌳慣㘶挹昷换〶搵搳愲㤴愳㥡㌱㌲敢㐲愵㝢㤴攳㐱㑡㌲戸㘶ㅣ愵㕢ちㄷㄸ㈰㜶㠳搴㔴挱㐳㔸户摡〱㑦〶㙢〷㍢搸ㄱ㍦㙣㐲敢㡣ㄲ㌴ㅤ㐳戸昵㡢㈰敦戴㠹㔱〸㔲㐳㍥晦摡慢㍣晤ㄴ㥦敦敦㑤㠴㠹㠰㠹ㄸ敡㡡戱ㅥ㠰摣㘸㔴㤲㕣搴ㅦ〶换㝤挹㈶㠵㔶㜷㤸㐷ㄳ愳㠷㈶㥦攳攱〶て攳㔸扤㘴㥢ㄲ敥戸㜹㈶戴㘹㘹㘹㠳㜱搰㉥㤴㉡㐵㈱㔵㜱㈸慢愵㐶㕥ㄳ昸㤲搷晦㝣㙥㡡搹㤷㘰㔳づ攲㈸挵㈵ㄳ㐹敤摢摤摡挷搰㕣ち㌹昴攱换㌶〶ㅦ㘳摣㜲㌲ㄸ搶㜴㐷㠱昶攱挶摡攵〵㜹㜱づ㈲慤㈹㡢戲㙣〲㜷昱慡ㄱ㘴挹㙤㤱㙡ㄳ攵㠹㌲㙤昶㐸搶〱搳捦㕡ㄳ㌸挲㍡㝤㠱㤷㑥挳ㄸ㘹㤳㍢搸㐹攲㕣㄰搹㍤昷愰㝣㑤㥣摢ㅢㄸㅦち攳扢㍣〵㈵戰慢㘰㈴ㅡ摣㙡捤敡㔶ㄸ昹愵攵慤摤〶愰㌰〴㑣㠳ㄶ㌵㝤〳㘷ㄴ改㤵つㅣ〶㈳㘳愲愳搱㐰㉡㘳㤴晤㜰搸〳㘹攰㈶ㅥ愴㘷捡㔰㐲摥㠰扣ㄴ㠶㍣㘹攰っ㔹㌸〲㤵㥤捤つ㤹㔳扡㠷慢㉦昶搶㠶散㤱㘲㤱收㉥晣㜳㙢〲慢戸戶攱㥢愳〳つㄷ戲攴㥡㘸摦㕤摥㔰㄰㕣ㄴ摣㌹㥥㍢愰㝢㠵昹㘹㙦挹扦戴搵㉥㐹愴㝥ち㝦挴戲愳搳㘶㑥摡扣㠴扡挸扤捦㥥戴换愷㙤㌹慦㤴换ㅢ㝦戴㘲戵捥㑥㑥㌲㥢㜸〷㝦攴愳㈶㔲慦愰挷搵㑣㥢ㅤ搴ㅣ㈴散㐷㍥扥㌴ㄸ㐴㍡㠶㑥㘰扢㔷㙦っ㤰㑥〶ㅡ攸㐴ち㠲㜵㐲戱攷摥㌷㐲㔱㝥〲戴㤲㔸晣㈳㌹昶晣㜹戰扥昲㘳攴㄰攱㜸て挴㐸敡㔲愴㘲㔰㈷〵㜹挰扣扣っ昲晦㠳愵㤰㥢㤷㘵愷晦〲㌳㉢㉦㌷愲攸㘲愲攸愵㘶ㄴ㌱㄰晢慥㐲摥㥣晤晡㔱昳〳扦搶晢㍦㍣㙡摥〱っ昳㤱搶ㄸ㠲㙡っ挶㔷㡤㠱㡥㈶㘳攰㑡ㄴ㑢㘳攰㑥戶㘱扣摥㌷〶〲㙦挷㈱㘴慣㙣っ㌰㡡ㄷ㘳昲㐵㠲慡ㄱ〷〶捦㕡㥢㉤㝡挲づ攰㝡慤㜰ㄱ戹㠷㝡㜲挷攰㝢摡搲㥣㍤愵㍢扡戵㔵收敦㜷〴搴㤶㌳㠳晢摡戲〹㕢㙣㕢戶㐴㌶㕡挶㉢ㄱ晡搳搷㍤㈷慢扢愵づ㑣昹㡦敦愸㔷㌲㑡晡㍤昸㐴ㄴ㥥㄰ㄲ㥦ㅡ昸挱晥扦摣晦昰㕥摥㑢ぢ㘸㌵挵㐰㜰㍢挱㜹㕡づ〸摦㐶慥㠴㙣攲攷㌷㠷昰㈱㤲戹㔰ㄲ愳扡㈳敤ㅤ㔷戳挲愴㑦㜸ㄱ挲昴㠹㙦㉤ㄸ㤳戸攱攰ㅢ㤳戹〶挷愶晣㝣㐹摡捡戹挸挴愵昷㉥っ㄰㉡㉤㔵㔶㥢㜶㘵敡㐷㔰㍡敦㜲㈲昵昶㈰捦㤷㝣ㄴ攵㠵㐶慤戶㥢㕡㑤㥡㠹捡㄰㙡㠴㔲ち㤱〶㔲㐸昴挸挲搰扦㤴㔲㔳㐸愴㜲〰㌱㌱戴挶㘰㉥㑦晥敢㐲㐰㔴慦昷戵昹愹ち㜶ㄱ㔸っ扤敥敤㥥㕤㘹㜵㠶慡㠹㐱㔹㜹晡㌸㠲㠴㍣愶㌰㠳㔱㕡㤹㝢ㄴ㠹昰㐹つ㈳戵㙡挷ㄳ〷改戱晣㄰㥢捦搸㈹㡢㕥戵慣㜵扢㕤挱ㅤて攸㤹戴㔴ㄸ昶㐶㘶攳攸㈹愳㜱㝥搵慣㥦㐵搸敢㈷慢㡤扡㠲㈲攸㉣㝢㉢捥㥦〸昳昱㝢㈰㤶て搵扡摥搴㔸㐲ㅤ㘷㜷㘲㠱晣挱晥扡㌸㠶戱㌱㉡㌹〶ㄲ㜶㔵戵㌲晥㈵昰㘹㌴㤱昶扣愲搵㤲ㅣ㑢㔱ㄸ㡤づ㌹慢㐳㙤搲晦㡣㔳㑢捥㥡㘱㙤〶慣敢昴晦㜱㘴慣愸晦ㄵ㐶搹㈴捡敥ちㄲ㝣㐹㌱㔲戲㘲㜰㠶㍢〲ㅦ㌶挲㌴昲〸慣挹㈴㠳摢㝥㙡ㅡ㥦愸晡挵㔲㠲挳挳㤵㙣扣〴㔱㙤㑢摢戶慢愵〰㘴ㄴ㈸昵㍤㠸愰㤶敤㌹改收㜳㙣晡㙥㘴てㅣ㌲ぢ㑥搹㉤ㅢ摥攰㌴挲扢㠳晣挲捣㠰捤㌳愲㍣摦㈸搴㉥挷㑥㜴摦㠳㌶㠷㈷㈱戰てぢ敦晤㡡㍡㌲㠶戰扡㤸〵扦㌶敡㡢〴㤲愸ㅤ摣昳㡣㈳ㄵ扤㠴て㔴㈷攱搵昴㤸戵㈶㤴㥤敦㕢㙥扣㡢挱慤挳㙤慣㍢攱昹ㄱ愵ㅣ挲㘰㜲〹昷摣换㝤㙤摣㠳晡扡挱摡㕣搶㙣捦扢㤶㑤㝤ㄷ㌸㕤摤㈸昵㈴挳㌱昹摤㜱㔶扢㤷㄰㜱ㅥ㝡㐷㔷敦㡡㘵㙦晤愰昳攰戳㙤扡扣㠶㑡㜰㤴慤㈲捥晤㐹㌴㔵㙥㈳挰㑦换〷〹扥㈸昴攷摤捡挴戳㔸ㄶㄹ〰改㐴㕡〷㘸㑤搵摦㕥㡥慡ㄵㅥ㉤㐸㠵㔹攵㕢㈸攷㉥昹慢㉤㌲て㐷つ㜹㠴㐰㕡㡢㑡㙥㠵㐷〸㌹晥搳㘸㔰ㅤ㝦づ戹慤挷晦挶戲攳㔳昹换昵㐵晢敦ぢ㤵㠷㜶㠲㐳㥦㈴㈸ㄱ㔸〰㝤㘱捤㕥㡡㐵捡㥡戴ㅦ㐴㜸㜹㉦搲㜸㝥ㅦ晣晢挶摥搷㕥攵昳捦扤㡡ㄴ㠴㈸慡㕦〵〵愱㕣挵ㄳ搱㔵㉣㈰户昵㉡扥戲摣㉡晡㈸㈳㌹ㄳ捤〱攸改㔰㐸㉢㜲㔵㉥ㄲ摣㔰晥ㄴ㠹㔰㈴敡㘶搱㐷挴捡戶ㄵ㈴搰㤶㍢㉦摢㉥㈲ㄱ戶㑤㜱㈳㘲㍥攱㤱昶ㄱ慦㍣搲㙢㤳昶摤慥㘹㕦㉢㘶慣挰摦扡㈶㘴〳㤶挴㙦㘲㕢㡡昴㜴㥢戱㝣攵戱㄰㌱〷づ㠴摦㐷愹㐱㜴〹㠴攱㕢愴㈴㈴㙥愴昲㠵戰昲ぢ㉦搶㥣愳㈸挰〳敡昱㉢㤳攰㘴攵㐷挳捡㍢昱敤㤵慣㤳攰㕤〱㍥㙦㠴㤵㐹㤸戲昲㈳㘱攵㝦散摣㕡慤ㅣ搲愱摦㜳㡡㐴ㄲ㘳敢㑡敢㍦昲ㅤ㌶て搵㈹㠳晡戳换昰戳㈹㌹㘵㤰戸㈴㌵㘸㌷慥㝤㌸昸ㄲ㝡〲户㤸㜰搹〳㐲搶晦てㄱづ攲㜶搳戸敥改昸搰㜹ㄱ㘱㘵㐷㤳㙦㙣㥣㌶㈶ㅤ㘴㜴ㅡ〷㕤㥣愹㡡㙢㡡㐴㘰づ㈴晤晤㕤挱晤ㅥ㘳㍡搶昶㈳っ㠷愹扣㉤搲㥥昲㤰㈱㤴愴昲㜰㠸搹挴搹ㅡ捤㘸㥦〶㜲㈰㈶〱㤹搰㍥〳攸㠷㕣〶㤸搱㐷晥㤷捣㝤ㄶ〹敤㈱㠲捦〲㘴ㄵ㌲㍢改㈰晤㌹㠰摥昰扦愳ㄸ㕣㤴晥ㄲ㔵㜹㈰ㅣ㉣㑡㐶摡攷搹攰ㄱ㠰づ㌸㙡㤵㠰〸戳摡愳挸㠹づ㑡挱㈱〷㝤㡣〵㕦㈴昸ㄲ㐰㌶挵挹慥㝡搷戸愶㌶㌵搷㤷搱㔴攱㔶㐸㌹昶㜸㤰攰㑢敡㉣挰慤慤㙤㘵ㅥ㠵挳捦昷ㄱ搴慣晢㑥晦㜶㝣㜷扦挴㐵㜷攰扦ㅤ㐹㐹挳㍥愹㝥愴扤扥挸〴戴挹攵捦挱㘶扦㠷㝥戸慥㥡㡤挹ㅥ㍦㡡㕦㐶㑤㉢て攱摦戳昸㈹愷㌰〲㐷愱愶捤挰捤㐲ㅡ㤰〵ぢ㐱〱㔵㤶昶〴㠰㐲ㅣㄳ㑦摡㤳㝣㈳㙡搹扦昶搵㈰挱ㄷ㠵㜸㍤换㐴㈹㘸ㅥづ㐸㕣换㠲㤳つ〳ㄲ晦戲攰㐴㜴挰慦㈳㔷㤱挸㐲愲㕥㉢ㄱ㘹㐹收㍥〵搰搳搱换戹㔱换愹㘷㤴挲㝤挵晢敥㝢慢㌷㌹戸㉤昹昱摢扡㥦㝡攳搷㙦㍥昹晡㈷昶晣晤敤㘷㥥㜹晤慦㑦扥晡昶㉢戳㝢㝥昹摣㜳扦戸攳㍢慦扥戹搱㜸㔶㝤昱慤㠹㘷ㅦㄸ㍥昹挰㈹攳搸㜵晢ㅦ戸晢挴㤱攱愹昳㠶㍡㍡㍡㍢慦敥晦搵昹搷昴㥤㍤昵㤲昲昳㍦㙤戱ㄵ戹㕣づ㜸ㄴ㈰㝣晡戸㙣㌹㡤㙦㈲㠱㘹㜰挶ㅦ攸㌴戸摣戳昸㈹挵㘰愳㐶昱㤲㠱㑦㠳ㄳ㤰〵㠵晡㠲慥晦〰㜰㘰戳ㄷ</t>
  </si>
  <si>
    <t>Decisioneering:7.0.0.0</t>
  </si>
  <si>
    <t>13712d62-b9ef-4a9e-b64f-586a2f674ea3</t>
  </si>
  <si>
    <t>Ventilators</t>
  </si>
  <si>
    <t>Week</t>
  </si>
  <si>
    <t>Prob Function</t>
  </si>
  <si>
    <t>Total</t>
  </si>
  <si>
    <t>&lt;=</t>
  </si>
  <si>
    <t>Vent Demand %</t>
  </si>
  <si>
    <t>$G$2</t>
  </si>
  <si>
    <t>$L$25</t>
  </si>
  <si>
    <t>Supply</t>
  </si>
  <si>
    <t>BOROUGH_GROUP</t>
  </si>
  <si>
    <t>COVID_CASE_COUNT</t>
  </si>
  <si>
    <t>COVID_CASE_RATE</t>
  </si>
  <si>
    <t>The Bronx</t>
  </si>
  <si>
    <t>Brooklyn</t>
  </si>
  <si>
    <t>Manhattan</t>
  </si>
  <si>
    <t>Queens</t>
  </si>
  <si>
    <t>Staten Island</t>
  </si>
  <si>
    <t>Citywide</t>
  </si>
  <si>
    <t>NYC Sim</t>
  </si>
  <si>
    <t>NYC Demand</t>
  </si>
  <si>
    <t>Average Error</t>
  </si>
  <si>
    <t xml:space="preserve">Scale </t>
  </si>
  <si>
    <t>Alpha</t>
  </si>
  <si>
    <t>Beta</t>
  </si>
  <si>
    <t>NYC New</t>
  </si>
  <si>
    <t>NYC Active</t>
  </si>
  <si>
    <t>$J$1</t>
  </si>
  <si>
    <t>$M$1</t>
  </si>
  <si>
    <t>Input</t>
  </si>
  <si>
    <t>&gt;=</t>
  </si>
  <si>
    <t>% Error</t>
  </si>
  <si>
    <t>Min</t>
  </si>
  <si>
    <t>Most Likely</t>
  </si>
  <si>
    <t>Max</t>
  </si>
  <si>
    <t>4b4b29c7-6741-4bd6-b0e9-dec0590e2fbb</t>
  </si>
  <si>
    <t>㜸〱敤㕣㕢㙣ㅣ搵ㄹ摥ㄹ敦慥㜷搶㜶㙣攲㕣㐸㠰㘰敥ㄷ㐷㑢ㅣㄲ㉥愵㈱昸㤲㉢戹㌸戱ㄳ㐰㤴㉥攳摤㌳昶㈴㍢戳捥捣慣ㄳ搳戴つ㉤㠵搲㡢㉡愸搴ㄶ㑡㕢㠴㄰㙡㕦㉡搱〷〴㉤㝤愸㔴愹㔵〵ㄵて愸㔲ㅦ㉡㔱㔴戵て慤慡愸㝤攱〱㠹㝥摦㤹㤹摤搹㕤敦搸搹㐰敢㔴㥥㘴晦㥣㌹昷㜳晥敢昹晦㌳㐹㈸㠹㐴攲㈳㍣晣㤷㑦㤲㠹㉢㈷收㕤㑦㔸戹搱㜲愹㈴ち㥥㔹戶摤摣戰攳攸昳〷㑣搷敢㐰㠵㜴摥㐴戹㥢捡扢收㘳㈲㤳㥦ㄳ㡥㡢㑡愹㐴㈲㤳搱㔴㤴戳ㄳ晥晡挲ㄷ㡤慤扡㤳〰㤳愳㈳㠷愷㑥愰搷〹慦散㠸捤〳挷晤戶㍢㠶㠶㜲㐳戹㙤㜷づ摤㤱摢戲㜹㘰戴㔲昲㉡㡥搸㘱㡢㡡攷攸愵捤〳攳㤵愹㤲㔹戸㕦捣㑦㤶㑦ち㝢㠷㤸摡㜲晢㤴扥敤慥愱㙤摢户ㅢ㜷摦㝤㔷㌷㠶㑥ㅣㅡㅤㄹ㜷㠴攱㝥㑣㝤愶㌸攵㙤㘳愲㘰㜲㙤㐲㌸愶㍤㥤ㅢㅤ挱摦挸晣昱㜶㘷㙥㘲㐶〸㡦㐳ぢ㐷搸〵攱㙡㘸搸㘵つ扢㙥挵㥡攵收㘹搶㙥㉣戵愰扢㕥捡ㅡㄵ愵㤲㘶㠵扤㘶慣挳搸扢㤲㍥摦㙤㑤〸摢㌵㍤㜳捥昴收搳搶㈴㍡㉡昶㔸挷㕣㜱㔴户愷挵㈱摤ㄲ㈹㙢㑦挵㉣㈶晤㈷搱㜱㔳搸㐵㜴㘲㜲昹戹㘱搷ㅡ㥤搱ㅤ㌹㈳㤷ㅢㄳ㔳㜷户㔳愸慦㝢㕤敢㝥㌹㜵㌹〲晢扣愱㜵㍤㤴ㅣ搷㥤㙡捤挱搶㌵㠳挵搷捦攰戶搶昵㈳㝢㔴摦收㤶搶㙤攴㔶搶搷㔶扡〲晡㤶㍢㡡挵㘸㘹㠲㑥㠲っ〱ㄱ愸㘵〹扡〸扡〱㤴攴扦挱㈵搱㠶㉣㔲昳扡㥡㥦㔲昳〵㌵㕦㔴昳㐲捤ㅢ㙡㝥㕡捤捦愸㜹㔳捤㥦㔰昳㈷㔱㈷㝣㌲㥤㥤㙡昰摣晢㜲㙥搷㤶㠱㝦敤晦捥㍢て㙥ㄸ扤㜶㐴敢㕥㠵㑡㐷㠲㐹㡤㌹晡㘹㤰㕡㡤㡡户收戶昰捦攲㕣〱愶㌰戶ㅢ㜷ㅡ㐳㐳挵敤㕢昴摢昵ㄴ㤷ㄵ㠳晣㍡㐲改㐳摤㙥攳〱搳㉥㤶㑦㑢摣㕤㌹愲扢愲戶㜱㠳㐱搹㐸戹㘲ㄷ摤㉢ㄶ㉥㥣昰㜴㑦㙣㙣㉣慢㜵搲搴㙣〲㙣㈵㕣㌹摥愶挶㘶挷昵㔲㐵っ㥦㌱晤攲慢ㅡ㡡慤㜱愷㍣搵扡㜴户㈳㑥㔵㑢㥢㘶㌴っ愱㌶㈷晢㙥㕡愵㕦攴捦㙢㘰㜴愶散ち㕢㑥㙦搰ㅡ㌷ぢ㈷㠵㌳㈱㈸ㄲ㐵㔱㉥㜵㉤㡢〲慥ㅦ㍣㙣㘳愱攰搶攲戵搱㕣㘳搷ㄹて捣㉣㡡㤸敦慣㜰扣昹㐹㝤慡㈴搶搵㔵昱挷㐴挱㠶扡散摤攵㐲挵ㅤ㉤摢㥥㔳㉥搵㤷っㄷ攷㜴㐸㥡攲挱㜲㔱㈴㤳〹㈹ㄴ㈰㜰㍢㍡ㄴ㈵㜱㙢㙢㕥㤰㠸㠸愰㤸㡣㝣㜹㍤搹攵㡥㘲㜵㔸㐵㐹㤰㈶搵敢ㄷ改㡣昳㤵㌲㈶㠶〳㈳㙢愲晥攰愰㌷㉦搲㙤ㄵ㜳㥦㙣㘵㔵敤て㔶扦㙢㑥搸摥㕥摤㉥㤶㠴ㄳ慢晤ㄴ捥㐸敢〵㐸㥤㠷㐰㘸戹㝢㔴㜵捡ㄹ㘵㍥㜵摡㉣㝡㌳改ㄹ㘱㑥捦㜸挸㠳㠶捣㘴戸戵㑤㡦㜶ㄹ戲戴搵〴晤〰搹㙣㈲扤㠶㤵搲㔹㍣㠹ㄴ愵㔳っ㉦搷〹㜲戶慢攳攵㙥㘳户㔹昲㠴㉦㤴㝢つ㘰挴搷㙡ㄲ㝤㍤㈴㔱㐷㉦昸ち㘳㡤㌱ち㉡搵㑤摢㥢慦昱㙤ㄳ㤷昸㐴戴㈲ぢ㤶㥤㉣愰㈸愸㤷〷㌱扣〶愲㘹㤰〶昱㤵㈳㐴㐴㌶㠸搱散攸戹㥥挸㔸㍦㐶㐶愰㝥㤴〸㔹㝢㑢㙢ㄹ㐱㘲㙦㈶㔲㌶㙡挹㡦㉢搲㙣㈱㕢摥㤷㘶㙢戱㜱摡㍡㠲昵〴㤷ㄳ㙣〰㔰晥ち〹㐷㈹㠷㜴晤愳㕤㠱㜷敤㑡㠲慢〰㈰㥦㌴捡㥣㐰㔴搱㠶㕡㡡ㅤ挹㝡㍤戰㤳愵㔱散㡢㈲㕡挶㔵㍢戳挷㤲㠸づ慣捥攵愱㙢㤳㔲挷摥搸㥡㌶愳换㈱㐵挶㔴㡤慥㜵㤱慡搱㡤㘰搵㌶昵搶搵㘸慡つ㄰㕣〳攰㉢ㄶㅡ扢㑢戳收㘹㑥㕥ㄲ㈶㤱㙦〸戵愹摣〳㈲愶昹ㅦ㈳攰㥡㡥㉥㉢昶㌳㑤挱㐱攳㤲户㥦㌷户收敤〰改つ㍡㜳㐵攷搰㔷㜴㠱ㄶ昴戵㘰㉦攵㑦㉤昵换昵㈸搶㙥㈰戸ㄱ愰㐱扦昰攴㝤愱㕥〲㘹ㄲ㕢ㄱ捣慤愶挷㐵㕡戸㤳昳戳㐲㙡㥦㙥㘳㔲㜷愶㠵〷敦挵扥㌱搸挱㘵挷ㄱ㈵ㅣ㘸㡢㌲㠳㘷㤷昵昵㤹敥㙥愷㙣㌱㝦挵㍥㜶㉦〹挵㤰㑣慡ㅤ㠹〶晢㌸挶捥㡣昸㥢㈲㤴㐳晤㝢㝢㙢㈱ㄱ㘹㔴㑦㕥㙣ㄷ㝦戶㕣㤱㈴㙤㐸㤲㥢戱慤摡㉤〰㤰ㄲ捡ㅦ㕡㑡㤴㐱㔶摢㉣慢搵㕢慢昴敥挵㥣㑣ㅡ晣㠷㑤㜲愴换㜷搶㡥挰㜷攰昶㔸ㄳ愶㔵ㄵㄶ㕤搶戸㜰ち昰㉢㤸㈵㤱昵㕤戲ㄴ㌵㉢戲攲ㄲ㤱ㄵㅤㅤ㑤㘷改ㄸ摦㥡愴㤳〶㈹ㄱ换敤戱㠵㌱攷昰ㅡ㔱搱〵㐹愱ㄲ攳ㄶ慡㑡㈰㔲ㅥ敢慥㠸㤸㌶㐴㑣づㅢ愷摤㐶戰㠵㘰〸㈰昵㝢㐸㥡愵㙥㍣㐳㘱㥤㜳㜴㘷攷昳㠹っ搱㈰摤㠳㙦户ㄴ㔶摢㌸捣㜶㠲㍢〰ㅡ捣ㅦ㍡ㅦ㘳〸㔱愲㍣㐲㠸戴㤶㌴攳戸㈹㑥㤳〶㔶ㄹ〸㉡㡤㔶㕣慦㙣㌱慡搴㘳㡣㤵て㤵扤㌱搳㥤㐵ㄴ慡摦〸ㄲて捣〸ㅢ搴攵挰昶㘹挸㉢捦捥㡡愲㘶㑣㤴㉢㄰㙤晢挶㤶挳愱ㅣ敢㠳㉤㈹捦攵慡㠲愷扤戳㌱扡㔰攴㠹ㄸ扥㔶㝡㘲㤷攴昹收愱慦户戶愳㤳愶㔷ㄲ㕤㠶捦㜴㑣㘷っ散㈲愲〶挵㑥㘳㜲挶ㄱ㘲慣挷搸攳㤸挵㤲㘹ぢ㈲〳㌶㈶〳㜵〷挴㌴㈲〴攳㘵挶晦捡㜶㡦㌱改攸戶㍢慢㌳㤸㌸扦扡敥㑤㠶㐴㔲挶㠸㘹扢ㄸ㐶㘲㤱改㕥㘳㘲愶㝣ㅡ搱摡㡡㘵敦搱㘷摤㘵㠱ㄵㄲ扤晦㐸搴㈸慡愲慡㑡㐶捤戴㡢ㅦㅥ挸ㄳ㠹慤昸㈵〹㈴慥ㄲ㈹晡换㘳戴㌷敤晡㈰㍥㐳㍢㥤㜳敡㐶攴愸㥡搹ㄱ㉢㠵挹愹摡㕤㙣㜳㌷挰晥㍤挷昶搵愲㜲ㄷㄵ慦㑥搱挳ㅦ㈳攳㈵㔹㔴㠳㈰昴捦慤昲㐹㠵㜹愴ㅣ㜰㈰㌰捥户㐶昲换ㅡ戲づ愹㙦㔵㉤戹ㅢ㔱愴㙥攳㠰㍥㈵㑡㠸㐵㕢扡户捡㝦愱ㄹ㙢改㈵㌷㈸ㅢ㉤㕢㤶㑥搲㈲㔹㑥ㄴ㜴㔲昰㜰挵㉢ㅦ㌴㙤捤〰㤰昴ㄷ㘴改㘷㤰愵㥦㤱㔹摤挶㔱㠶〵㘵㥡㝤㤵愷㜵挷昴㘶㉣戳㤰攱ぢ㐳㜷换㠲㈶挱攴㤴扣攱ㄳ捡㡣㠱〶㙢晥ㄸ㑣㌶㌷〷㜴攷㈰㐷戹㜵㐴㍦㈸㔷㔵搲昸愳戴改㔸㠲㠰㤱㕥㔲敤ㅥ昴㤶㤲㌷㈳㈰㜲攴㜳㍥扣㝦㜱晥㡢挸昱晤㜲挴㝡っ㠹挰㈳ㄸㄱ昲㜴㙦愷㡤㘳戶改〱㝢挴搸㙥搳ㅢ㜳㠱㜲〰㈴攵昱㜶愳挴㙡愴搱㘰㔵㉢㕣摤㕣㔴愷㈶㌶㌵㤷㐷昵挶昵ぢㄴ晢ㅡ㈵愲㐸ㄶ慢㈴㌵换〲㜳㕣㑥慡㐶㤱㡡㍢搴㌶㑡㥣摢戴戶敦㤴㈲ㄷ愱㤸㈴捤㈴戴ㅤ㤲㔰㄰攴㈵㜵㐰㐷搱㕦ㅦ㑦ㅥ㤱㘸つ㙤㠰㉣昵㤴㥦搷ㄳ㠴〳昷攱捡㐹㔱㘴㠳㌷昰昷慡㈰㜹戸攲搵㤵攸㘷晡㠳㤲攱㔲改戰つ㉢愱愰㍢挵㘵挲搲㔸㥢慦㘱㈴㜷戶慢晤晤敤㡤㌰㘲挰㠶っ㠹挴昸㠱挱㠶㘰慥㐸㌴㤵搶㔹て户扡㥡㥤攱摢㐱愱摢ㄲ〳ㄳ㕥㜱㑣捣㐹㌳慣㘶挹昷换〶搵搳愲㤴愳㥡㌱㍣攵㐲愵㝢㤴攳㐱㑡㌲戸㘶ㅣ愵㕢ちㄷㄸ㈰㜶㠳搴㜸挱㐳㔸户摡〱㑦〶换〷㍢搸ㄱ㍦㙣㐲敢㡣ㄲ㌴ㅤ㐳戸昵㡢㈰敦戴㠹㔱〸㔲㐳㍥晦摣愹㍣晦ㅣ㥦㥦散㑣㠴㠹㠰㠹ㄸ敡㡡戱ㅥ㠰摣㘸㔴㤲㕣搴ㅦ〶换㝤挹㈶㠵㔶㜷㤸㐷ㄳ愳㠷㈶㥦攳攱〶て攳㔸扤㘴㥢ㄲ敥戸㜹㈶戴㘹㘹㝥㤵戱捦㉥㤴㉡㐵㈱㔵㜱㈸慢愵㐶㕥ㄶ昸㤲搷晦㝣㙥㡡搹㤷㘰㔳昶攱㈸挵㈵ㄳ㐹敤摢摤摡扤㘸㉥㠵ㅣ晡昰㘵ㅢ㠳㡦㌱㙥㌹ㄹっ㙢扡愳㐰晢㜰㜵敤昲㠲扣㌸〷㤱搶㤴㐵㔹㜶〰㜷昱慡ㄱ㘴挹㙤㤱㙡〷捡〷捡戴搹㈳㔹㝢㑤㍦㙢㔹攰〸敢昴〵㕥㍡つ㘳愴㑤敥㘰㈷㠹昳㐱㘴昷晣ㄷ攵㙢攲晣捥挰昸㔰ㄸ摦攵㈹㈸㠱㕤〵㈳搱攰㔶㙢㔶户挲挸㉦㉤㙦敤㍥〰㠵㈱㘰ㅡ戴愸改ㅢ㌸㈳㐸㉦㙥攰㌰ㄸㄹㄳㅤ㡤〶㔲ㄹ愳散㠷挳ㅥ㐸〳㌷昱㈰㍤㔹㠶ㄲ昲搶挸㑢㘱攱扤挴㐱ぢ㐷愰戲戳慥㈱㜳㕣昷㜰昵挵摥搰㤰㍤㕣㉣搲摣㠵㝦㙥㔹㘰ㄵ搷㌶㝣㜳㜴㑤挳㠵㉣戹㈶摡㜷搷㌵ㄴ〴ㄷ〵户㡥攵昶敡㕥㘱㘶挲㥢昷㉦㙤戵㑢ㄲ愹㕦挲ㅦ戱攰攸戴㤹㤳㌶㉦愱捥㜱敦戳㈷敤昲㘹㕢捥㉢攵昲挶ㅦ慤㔸慤戳㤳㤳捣㈶㍥挲ㅦ昹愸㠹搴㥢攸㜱㈹搳㘶〷㌵〷〹晢㤱㡦㉦つ〶㤰㡥愱ㄳ搸敥搵ㅢ〳愴㤳㌵つ㜴㈲〵挱ち愱搸搳ㅦㅢ愱㈸扦〰㕡㐹㉣晥㤱ㅣ㝢晥ち㔸㕦昹㌹㜲㠸㜰扣〷㘲㈴㜵つ㔲㌱愸㤳㠲㍣戸摥挱换㈰晦㍦㔸ち戹㜹㐱㜶晡㉦㌰戳昲㐶㈳㡡㌶ㄱ㐵慦㌷愳㠸㠱搸ぢち㜹㜳昶㉢㐷捤㑦晣㕡敦晦昰愸戹ㅦㄸ收㈳慤㌱〴搵ㄸ㡣慦ㅡ〳ㅤ㑤挶挰つ㈸㤶挶挰晤㙣挳㜸扤㙦っ〴摥㡥㠳挸㔸摣ㄸ㘰ㄴ㉦挶攴㡢〴㔵㈳づっ㥥戵搶㔹昴㠴敤挵昵㕡攱㈲㜲て昵攴㡥挲昷戴扥㌹㝢㕣㜷㜴㙢㠳捣摦攳〸愸㉤㘷ㄲ昷戵㘵ㄳ戶搸戸㘰㠹㙣戴㠰㔷㈲昴愷慦㜸㑥㤶㜶㑢ㅤ㤸昲ㅦ摦㔱慦㘴㤴昴㐵昸㐴ㄴ㥥㄰ㄲ㥦㕢昳搳㍤㝦㝥散㠹㥤扣㤷ㄶ搰㙡㡡㠱攰㜶㠲昳戴ㅣ㄰扥㡤㕣〹㔹换捦㙦づ攲㐳㈴㜳戶㈴㐶㜴㐷摡㍢慥㘶㠵㐹㥦昰㈲㠴改ㄳ摦㜲㌰㈶㜱挳挱㌷㈶㜳つ㡥㑤昹昹㤲㜴〶收㈲ㄳ㤷摥扢㌰㐰愸戴㔴㔹㙤摡㤵愹㥦㐱改㕣攰㐴敡敤㐱㥥㉦昹㈸捡慢㡤㕡㙤㍢戵㥡㌴ㄳ㤵㐱搴〸愵ㄴ㈲つ愴㤰攸㤱㠵愱㝦㈹愵挶㤱㐸攵〰㘲㘲㘸㡤挱㕣㥥晣㔷㠴㠰愸㕥敦㙢昳㔳ㄵ散㈲戰ㄸ㝡摤摢㍤扢搲敡っ㔵ㄳ㠳戲昲昴㜱〴〹㜹㑣㘱〶愳戴㌲昷㈸ㄲ攱㤳ㅡ㐲㙡挹㡥㈷づ搲㘳昹㈱㌶㥦戱㔳ㄶ扤㙡㔹㙢㤷㕤挱ㅤて攸㤹戴㔴ㄸ昶㙡㘶攳攸㈹愳㜱㝥搵慣㥦㐵搸敢㈷慢㡤扡㠲㈲攸㉣㝢〳捥㥦〸昳昱㝢㈰㤶て搶扡㕥摢㔸㐲ㅤ㘷㜷㘲㠱晣挱晥摡ㄴ挳搸ㄸ㤵ㅣ〳〹扢愴㕡ㄹ晦ㄲ昸〴㥡㐸㝢㕥搱㙡㐹㡥愵㈸㡣㐶㠷㥣搵愱㌶改㝦挶愹㈵㘷㑤戲㌶〳搶㜵晡晦㌸㌲ㄶ搵晦ち愳㙣ㄲ㘵て〴〹扥愴ㄸ㈹㔹㌴㌸挳ㅤ㠱てㅢ㘱ㅡ㜹〴搶㘴㤲挱㙤㍦㌵㠱㑦㔴晤㘲㈹挱攱攱㑡㌶㕥㠲愸戶愵㙤摢搵㔲〰㌲ち㤴晡㌱㐴㔰换昶㥣㜴昳㌹㌶晤㄰戲搷ㅣ㌴ぢ㑥搹㉤ㅢ摥挰〴挲扢〳晣挲捣㠰捤㌳慣扣搲㈸搴慥挳㑥㜴㍦㡣㌶㠷づ㐳㘰ㅦㄲ摥挷ㄵ㜵㘴っ㘱㘹㌱ぢ㝥㙤搴ㄷ〹㈴㔱㍢戸㤷ㄹ㐷㉡㝡〹ㅦ愸ㅥ㠶㔷搳㘳搶戲㔰㜶扥㙦戹昱㉥〶户づ户戱敥㠷攷㐷㤴㜲〸㠳挹㈵㍣晣〸昷戵㜱て敡敢〶㙢㜳㔹戳㍤敦㕡㌶昵㌲㜰扡戴㔱敡㐹㠶㘳昲扢攳慣昶〸㈱攲㍣昴㡥㉥摤ㄵ换摥晡㐱攷挱㘷摢㜴㜹つ㤶攰㈸㕢㐲㥣晢戳㘸慡摣㐷㠰㥦㤶てㄲ㝣㔱攸捦扢㠷㠹ㄷ戱㉣㌲〰搲㠹戴づ搰㥡慡㝦戸㄰㔵㉢㍣㕡㤰ち戳捡て㔰捥㕤昲㔷㕢㘴ㅥ㡥ㅡ昲〸㠱戴ㄶ㤵摣ち㡦㄰㜲晣攷搱愰㍡晥㌴㜲㕢㡦晦扤〵挷愷昲㤷敢㡢昶摦ㄷ㉡て敤〴㠷㍥㐹㔰㈲戰〰晡挲㥡扤ㄴ㡢㤴㌵㘹㍦㠸昰挶㑥愴昱扣ㄳ晣晢摥捥户摦攲昳㡦㥤㡡ㄴ㠴㈸慡㕦〵〵愱㕣挵㌳搱㔵捣㈲户昵㉡扥戵搰㉡晡㈸㈳㌹ㄳ捤〱攸改㔰㐸㉢㜲㔵㉥ㄲ摣㔰晥ㄴ㠹㔰㈴敡㘶搱㐷挴捡戶ㄵ㈴搰㤶㍢㉦摢捥㈱ㄱ戶㑤㜱㈳㘲㍥攱㤱昶ㄱ慦㍣搲㙢㤳昶摤慥㘹㕦㉢㘶慣挰摦扡㉣㘴〳㤶挴㙦㘲㕢㡡昴㜴㥢戱㝣攵改㄰㌱㝢昷㠶摦㐷愹㐱㜴〹㠴攱㕢愴㈴㈴㙥愴昲搵戰昲慢慦搵㥣愳㈸挰〳敡昱㉢㤳攰㘴攵愷挲捡㕢昱敤㤵慣㤳攰㕤〱㍥敦㠵㤵㐹㤸戲昲㤳㘱攵扦㙦摤㔰慤ㅣ搲愱摦㜳㡡㐴ㄲ㘳敢㑡敢㍦昲ㅤ㌶て搵㈹㠳晡戳换昰戳㈹㌹㘵㤰戸㈴㌵㘸㌷慥㝤㌸昸ㄲ晡〰㙥㌱攱戲〷㠴慣晦ㅦ㈲散挳敤愶㌱摤搳昱愱昳ㅣ挲捡㡥㈶摦搸㌸㙤ㅣ㜶㤰搱㘹散㜳㜱愶㉡㉥㉢ㄲ㠱㌹㤰昴昷㜷ㄱ昷㝢㡣改㔸摢㡦㌰ㅣ愶昲戶㐸㝢捡㐳㠶㔰㤲捡ㄳ㈱㘶ㄳ攷㙡㌴愳㝤ㅥ挸㠱㤸〴㘴㐲晢〲愰ㅦ㜲㔹挳㡣㍥昲扦㘴敥㜳㐸㘸㡦ㄳ㝣〹㈰慢㤰搹㐹〷改㉦〳昴㠶晦ㅤ挵挰㥣昴㤷愸捡搹㜰戰㈸ㄹ㘹㕦㘱㠳㈷〱㍡攰愸㔵〲㈲捣㙡㑦㈱㈷㍡㈸〵㠷ㅣ昴㘹ㄶ㝣㡤攰敢〰搹ㄴ㈷扢攴㕤攳㥡摡搴㕣摦㐰㔳㠵㕢㈱攵搸㌷㠳〴㕦㔲攷〰敥㘹㙤㉢昳㈸ㅣ㝥扥㡦愰㘶摤㜷晡扢昰摤晤㍣ㄷ摤㠱晦㜶㈴㈵つ晢愴晡愹昶晡㈲ㄳ搰㈶㤷㍦〷㥢㝤ㄱ晤㜰㕤㌵ㅢ㤳㍤㝥ㅡ扦㡣㥡㔶ㅥ挷扦攷昰㔳㑥㘱〴㡥㐲㑤㥢㠱㥢㠵㌴㈰ぢ㘶㠳〲慡㉣敤ㄹ〰㠵㌸㈶㥥戴㘷昹㐶搴戲㝦敤摢㐱㠲㉦ち昱㝡㡥㠹㔲搰㍣ㅣ㤰戸㤶〵㈷ㅢ〶㈴晥㘵挱㠹攸㠰摦㐵慥㈲㤱㠵㐴扤㔶㈲搲㤲捣㝤づ愰愷愳㤷㜳愳㤶㔳捦㈸㠵㐷㡢㡦㍥晡㐱㙦㜲㘰㘳昲挱晢扡㥦㝢敦㜷敦㍦晢敥㘷㜶晣敤挳ㄷ㕥㜸昷㉦捦扥昵攱㥢㔳㍢㝥昳搲㑢扦摥晦愳户摥㕦㙤扣愸扥昶挱㠱ㄷ捦づ㥤㍣㝢捡㌸㜶敢㥥戳て㥤㌸㌲㌴㝥搹㘰㐷㐷㘷攷㑤晤扦扤晣收扥㜳愷㕥㔷㝥昵挷昵戶㈲㤷换〱㡦〲㠴㑦ㅦ㤷㉤愷昱㝤㈴㌰つ捥昸ㄳ㥤〶㤷㝢づ㍦愵ㄸ㙣搴〸㕥㌲昰㘹㜰〲戲愰㔰㕦搰昵ㅦ㙥㔵慦挳</t>
  </si>
  <si>
    <t>Avg</t>
  </si>
  <si>
    <t>Decisioneering:11.1.1000.0</t>
  </si>
  <si>
    <t>Statistics</t>
  </si>
  <si>
    <t>Trials</t>
  </si>
  <si>
    <t>Base Case</t>
  </si>
  <si>
    <t>Mean</t>
  </si>
  <si>
    <t>Median</t>
  </si>
  <si>
    <t>Mode</t>
  </si>
  <si>
    <t>Standard Deviation</t>
  </si>
  <si>
    <t>Variance</t>
  </si>
  <si>
    <t>Skewness</t>
  </si>
  <si>
    <t>Kurtosis</t>
  </si>
  <si>
    <t>Coeff. of Variation</t>
  </si>
  <si>
    <t>Minimum</t>
  </si>
  <si>
    <t>Maximum</t>
  </si>
  <si>
    <t>Range Width</t>
  </si>
  <si>
    <t>Mean Std. Error</t>
  </si>
  <si>
    <t>---</t>
  </si>
  <si>
    <t>CB_Block_7.0.0.0:2</t>
  </si>
  <si>
    <t>CB_Block_11.1.1000.0:1</t>
  </si>
  <si>
    <t>㜸〱戵㔶㑢㙦摢㐶㄰㈶愹㈷㈵搹㘱㙣愴㐰㠱ㅥ㡣愲愷挶㈵㈲搴㙥㥣㠳ㄱ㔰㤴ㅤㄹ〹㉤㔵㔴㤳攳㘲㈵㡥㉤㈶㝣ㄸ㝣㈸㔱㝦㐴㑦扤戴㐰て〵㝡改㑦攸㝦敡戵㙤㙥敤っ㈹㑡愴慣〸㌰㤰㡥攵㝤捤㌷㑦敥散慥㈰ち㠲昰㉦ㄲ昵㐴㘵ㅡ㝣㘶捥挳〸㕣㔵昷ㅤ〷㈶㤱敤㝢愱慡〵〱㥦扦戰挳愸㠴㠰㉡戳㤱ㅦ㔶㔸㘸㝦て㜵㌶㠳㈰㐴㔰㐵㄰敡㜵㔹㐲㍥㈹愱㝦㈵㥢挸㈴搵㉡㘳㌳搲㍢晤昱㙢搴㙡㐶㝥〰㠷〷㉦㔳搹搳㜶㕢㙤慢㐷㡦摢摦愸㡦づて昴搸㠹攲〰㑥㍤㠸愳㠰㍢㠷〷㠳㜸散搸㤳攷㌰ㅦ昹㙦挰㍢㠵昱愳慦挷晣攸愴㝤㜴㝣㝣昵攴挹㐹ぢ㑤ぢ㤷㝡㘷㄰挰㔵昸㤱㜴㔶挸攵攳㉥㑣㙣㡡つ㈰戰扤㙢㔵敦攰㉦攷扦㡡ㄶ㉤㝢㠲愱愸㝤㤳挶收ㄴ㈰㙡愲㘴㤳㈵挳挴愳㕤㜶昶㙥〲㡥づ㡥㌳㐴〷昷ㄸ㈶㌶㜶扤㝥㘰㠳ㄷ㜱捡慦捣愶㍣散昲〸挲㈶㡤㝡挰㉤捣换㍥㑢㤲㘴愵㜰ㄳ㕤㠰㔰㔹慣つ晤户改㐲ㄱ㜴㌶㐳㤵㜹㔰扡戰攳㝥ㄷ挲㤰㝢搷㜰挹㕤愸戸捦㘲摢㉡搳攷㤰㤰㠴搲㔷㥢挲㑣㕣㕦〵戸ち㠷㤲摤摥㈴㤱㑦㡣摥㜹慣ㄶ愲㈶㙢㈲㔲㜳戱戹ㄲㄷ㜰㑤慥㔲㔳㈳慥㈰㌴㤰㠴昲㝢摣㤰㜹ㄸ攵㔳㘲㕣㘲㘳㠹㑤㈴㘶㐹っ㈴㜶㈵戱㙢㠹㑤㈵㘶㑢散戵挴摥㈰㈶愳㝡慤㐶㜱ㄱ晤㌲㝥摥㝣晦捦慦摤摦㝦㤸㥡晤摦㝥っ㕡㌲㠲〶㝡愷〷捥つ㘶昸㘳敤ㄵ㡡攱㙥㐹㔴㔱㘲㡦つ攱㍡㠰㤰㌶㤸〱搱搴户昰昳て昰㌳晢搶㘸㝥〳㉤㘶〲て㝤㡦㍢㜶㌴摦㘵㈹挲㌴㌴㉤㡥晣晢慢㘹㉡㄰㘶㠰㙥ㄱ㠰搳㌵㠰㜹㘶㤲㠶㝢㤹〶㥣㍡㌷㔳扥㤴㉦戲扢户搹ㅤ㠸戸戲㤰敥㡥㉥㑤㤶㜷㈸㕤㈰㠵〵〸挹㘴ㄶㄳ挸㘰㙡敦㘴ㅥ㈴ㄱ㘵昶㑤慤攰㡥愹㍤攳慥扢昴慥昷㉡〱㘷慡㘸㥡㜷ㅥ攷㜹㑢㌸㑤愴㤷㤶っ㜲㜵㘹挹㈸挸㥡挶㥡愵〴扣戲㔴㐴昷㕥ㄹ㐵㑢愹㜴〶敦㡥戴㈴㉤慢㈴攰㥣㍣捤〳㡡㠹搴㔸挱㍥㘹挰㈴慤昰挶㥡㐲㥣ㄷㄵㅡ慣愸搰㔸㔷㘸愴ち㈹〷㉥ㅥ㍢ㄳ㙤㜸㘱㘸て愸捥㈱〰㙦〲攱挳扥愷㑦改㤴戰㍥捦慦㕥㥤扤㡢挰戳挰ㅡ〴㍥㔶㑤㌴ㅦ昱戱〳㥦ㄴ㈰ㅡ摥ㄳ㌳㐰挶愷㠵攵㜳㝦ㄲ㠷扡敦㐵㠱敦ㄴ㌹㥡㌵攳㘸搳㌲㝣ぢ㠴攴㉣捡捡㜷㑢㕦㉡㠹愲㈰㝥戹改昰㔹㔴戴扡慡㥦㌳㉦㜶愹摣ㅦ㙥㠳攷㑡㡣㙡㡥昰㘲ㅤ晦慡㘲㤵㝥户扢㜴戹㉡敥㉦捥戱攴㠰敤㜱捦㜲㈰搸㝡㜱㡡㜴㙥ち㤵扦昱㜰扢㐳〰㜴㡤搶㘶摣㠹㠱㌱愱㑥敥ㄱ㔵晥㐲㉤㜷㠹㙢戳ㅡ㑣㈶㠶㥢㕣搲㍦晦㐴昴挷㔳㌱ㅢ㘴晤慤㠵て㌲晥て㘴㘶㉣敢㍦㘸㘳〹㘸挸㉤っち慦㤱ち摤㈹㜷扦愷㈸ㅢ㜲㜲㐱攲㜳㈳慣戸攷㝥㄰㤶㑡㥢扥㙣㡦㠷搳㠸㉡㘱㉢㤳敥㍤㜹㠷㥡㕤㙣㐴㜲㡥戲㉥摦挳㈶愳㌲昱户㙡愱㔸ㅡ㉦㝣㙥㥤㜳㝡㙤搴ㄶ捦愶扡敥扢㌷㍣㠰㐰㈱㘷㜴㉣㈵㉣搱㤹㡤㡦㠷㍡㉤㤸昸㍣㉢㔳ㄸ搵㤷戴㠳㐲㐱㈸㤵㠴㑡愵㔹摦㘴敢㈲搳昵挵㠶攷摦挵㉤晤㝦㝥㝢昲㤴晣㙦㌴攸愱㈴㉢搴摣挷㐶愴㌰㈹㥥㌵挰ㅥ〱昶戱㔱戲挸ㄵ㤲㈱㔲㐸㡥㐸㈱㄰㤱㐲㐰愲收㝦㕦ㅥ㕣㠶</t>
  </si>
  <si>
    <t>Total % Error</t>
  </si>
  <si>
    <t>㜸〱敤㕣㜹㜸㕣挵㤱㥦ㅥ㘹㥥搴㈳挹ㅡ㙣㙥っ㈸㘰ㄳ挰㐶㘸愴㤱㌴㠲㌸攸昲㝤㘲昹挰㄰㈲摥捣扣戱挶㥥挳㥥ㄹ搹ㄲ㠱㐰㔸挸〵㌹㈰戰㔹〸㠴㈳㐰〸搹㉦㘱扦捤㐲捥つ戰㘴戳〱㤲捤ㄲ㍥㜲㝤戹〹搹〴㤲㈵昹〸㐹㔸ㄲ昶昷慢昷摥捣㥢㐳昲ㄱ昳慤晦挸戳愷愶扢扡扡㕥㜷㜵㜵㜵㜵㜵㡦㝣捡攷昳扤㠶㠷摦㝣ㅡ㤹㤸㍦㌶㕤㈸㕡㤹捥㤱㕣㍡㙤挵㡢愹㕣戶搰㌹㤴捦㥢搳㙢㔲㠵㘲〳〸㡣昱ㄴ捡ぢ㠱昱㐲敡㔲慢㜹㝣㡦㤵㉦㠰㈸攰昳㌵㌷㙢㍦捡㥢㥣㑦挸捤㘸搶搲㡤〴愰昲㘹㠳㠰㔴扡㤹㐰〳戴〶〱㌶㡤っ慦㡦敤挰㍢挷㡡戹扣戵戸㘳㡢捤㜹㐹㌸摣ㄹ敥㡣昴㠷晢㍡扢ㄶ㜷㡣㑣愶㡢㤳㜹㙢㐹搶㥡㉣收捤昴攲㡥つ㤳戱㜴㉡扥摡㥡摥㤴摢㘹㘵㤷㔸戱慥㥥㤸ㄹ㠹㠶㈳扤扤挹㠱㠱㘸㙢ぢ㌸慦ㅢㄹ摥㤰户㤲㠵㐳挵戳㤵㍣搷㡦っ㜷慥戳㡡㠷㡡㘷ㅢ㜸㠲攵㘸㉥㘳愶戲㠷㠸㘹㠰㤲敦ㅤ戵攲㈹づ㤱㘵攵㔳搹敤㥤㘸㜶㠵愰㤱敢敦ㅣ㉡ㄴ㈶㌳扢㌸摡㈳㔶㍡扤搱㑡捡搰㘴㐶ぢ挵つ㘶㍥㔳㘸捤㔰㝥㔶摥捡挶慤挲㥣捣搲愹戸㤵㜶〸ぢ捤㤹㉤㘶㝥㥤㤹戱ㅡ㤹㘸捦搸㘳戸㌲㘱㘵㡢愹攲㜴㕢㘶㜳挱摡㘸㘶户㕢㈴〹㘴㤶㑦愶ㄲ慡戱ㄱ晦㝤つ㙦慣搷㌲ㄹ㈸戴㈷㌳㌲㘱收㡢㤲攳㄰㠶敢搱㝡搴㐵㝡㔱搱㉥慡㔴㐷㔵㉤㡥搹㔸㉡戳摡捡㘷慤㌴㕦挲㤱㕣㔴㐵㈴〲戲挷愱㈴愹㔲㜷㐰慦㕡㥣㈹挲扥昰㉤挶ㅣ㠰㠵㥢昲㈹㜴㜳㌲㙤收ㄷ慦㑤㘵㤷㜴㉤㕥㤳摡㘹愵㔳㔶愱戸㈴摣戵㜸慤㌹㠵慦㉥摤づ㔲ㅤ㘲愵㈳〰收㙥㠱㤴搰挸㡣㤹㑤㜴㉣散㜸昴愱㡥㙥㍤㤷ㄴ昳〰㔴攳ぢ㤸㥣摥㤷㔱㄰晥㜱搳㍦ㅥ昳㡦挷晤攳〹晦戸攵ㅦ㑦晡挷户晢挷㈷晣攳㈹晦昸づ晦昸㑥搰戸㑦㜳㔳㤳摦㜹㡥㥢扡敢搴㜵㉦㍦戲昶昳㙦戸㘹攵昱扤ㅦ晣㕥㠰昳戱愷㕥捦慢㠵扡っ㤳㌱㙥ㄶ㡡捥㜸㜳攲ㅥ㕡㜵搸户㌶㉣换挷㕦㝦㙤挰㑢づ㠹㌶攸愳㈰㈱㝤㌴㠰㜱っ挱搸攴慥㕤改㘹㝤㉣戱挷〱㈸昵ㅣ㠶㤵㐳㕢捣收㜲扦挸摣扡晣㕦㥥㡡㉤㜸摦搲㜷扣㔹搱㍣㡡㠹㍤〱㠹搳慡ㄴ慡户戳搷愳㔲晤挸㔱愷愲㝡㍥ㄹ㥦〸㘰㥣〴攰㕦摡慤㑦㈶愶〳㐰愹ㅦ㌹慦㍡捥扡㙦摥㍦晤晥㕢敢ㅥ扣晡攷㤷晥戸攷㐷户㉢ㅡ㘱㌱挹愷㤰昸㔴〰㘳〱㐰搳挲㡥愵昹㝣㉥慦ㄷㄲ㝤ㅡ㠰㔲摦㜵㜸摣昶㤱昹㍦〸㍦昶愹㜵昷扣昳扡敦敦扥敡晥晦㔵㔴〵㘹敥改㐸㔴㌷户摦搳搸㜰挴㘹㙤㜷㔸㥦㐱挶㘷〲ㄸ㡢〰晣㑢㝢昴㘲㘲捥〲㔰敡㈹攷㔵戹搶㥦㉣㜸㉣搱扡敡摥㜵扦扥昱ぢ慦ㅡ㘳㡡收㐸㕥㜵㌶ㄲ㘷㔷㐹愶愷户慢换㍢摤愲㤲愷㜴扡㔱㠰㐹搷挵㌷㠴〱㡣㙥〰晦搲㠸敥㈱㈶〲愰搴ㄳ捥㍢㌷㘷㡥晢昵㐳㉦慥㕢昷挰㝢㌲搷晣攰㤲慦㝤㕤㜱㘱ㄲㄱ昵㤱戸ㅦ挰㠸ㄲ搸搳㔵て㄰㝢づ㠰㔲㕦㜱㔸慣ㅣㄹ㔸昵捦搳户慣扦昱㤶㤳捦扥愷㌸㉦搱晡㈶ㄴ㥦敦㔸㡢搱扣戹ㄷ昶户㙣摡扢㍢扢昸㙦摦㙢ㅡ㤶戴㘴㙦戲㍦ㄹづ㈷㝡扢捣ㅥ㌳㐰㈳戲扦挶㤳戶愶㌵戹㌵㤵㑤攴昶㡡㌵㥤㍦㙣ㄶ慣昲㜴㕡攴㤴つ攷㈶戳㠹挲〹昵ぢ挷㡡㘶搱㍡扥扡慣捣愴愶摡ㄸ搶ㅡ慢㈰敦㍢愹扡摡ㄶ㌳㍤㘹つ㑤愵散攲ㄳ慢㡡戱搲攴㘲㌳㤷㉥换㕢扢㑢愵㌵㉤ㅡ㠲挳戲㐷㜸搷昴搲㉥戲摢搵㌱㌲㤱㉢㔸㔹㘹摥愲捣㠶㔴㝣愷㤵ㅦ戳攸敥㔸〹改敡㔱㉣㜲㤶扢㐵敢戳攸㈸ㄶ戰挴㈹㕥㙣㜲改㔴搱捡㈶慣〴摡扢换捡ㄷ愷㌷㤹戱戴㜵㜴〵㠹晤㑥ㄴㅣ㔷㠱㕥㤶㡢㑦ㄶ㐶㜲搹㘲㍥㤷慥㉣ㄹ㑡散㌱戱挴㈶搶收ㄲㄶ㔶挸㐶㍥㍥攵㙢㘸㔰捡㜷㘶㍤㘳㑤扥㠵㑥ㄹ〸捦㄰㜳㥤㌸戶㔲敤㍡㌷愲㜷攸㐵摡愲㑥晡ㄷ散㠳㤹昰㈵㥢㌳㘶㈶昴昴㠹扥㈱愹㑦㥦㤹㕡摡㔸ㅡ戹搷㤷搸敦㥦攷昴㝥改ㅥ㉣戰㉢戰扡愶慤晣慣㥥慤㘲㡢昴ㄲ㠰挰愳㤸捤㌳㑡㡦〶㐱㑤愹改挰摥㔴愲㌸㘱㑣㔸愹敤ㄳ㐵攰攰晤㌶㌷㔳戴㌵㡦㍥て㈸㍤㐸㌰〴㄰っ晡㡣㘱㝣晢㡣愰ㅥ戱昳〱捥搱〳㜷㜰攸㕦㙢㜱愸攰晤ㄶ〲ㄹ㉣搴㠵㠶㠶㝡扤㕣㘱ㄶ㈶㡡㔴捦㔹ぢ改捡攸㔱㠲愵〰〱晡㈱晢昴㥦㘸㠹ㅡ改㈶戶㘵㐶慤愴〹攷㕣㘶户㌲〳ㄹ摢摦ㅢ戵ち㜱㑤挷㜰㈵收捡㤴㠱ㄴ㈶㝦㙢㠶摡㙦㑤ㄵ㐷捤愲搹㤴㠱㡢㠹㔱搲㈰㕡㈴戵散ㄴ㙢戶〹捥慤ㅤ㜴㜲攰㄰㤲愴㠷㑢㡢㈰㙣㑥㤸㌸㤸㉦扥〶〷捥摥〹戴㥤换扥㔱慤攸㤵慥㈲㍣搸挴㜲㉢扢㘹㝡㤷㔵㈰㜹戳㌱慢㈸慢愷ㄷ㤹慤㡦挷㌶ㄷ㔳改㐲㈷㕡扡㍣㥦㥢摣㜵㈸昹㤰㤷㕥〶攰㍥㠱捦㐱㡢昷扦㑦摣昹㌵敤攱搸㡣㡦晢㥡挹㡤ㄸ㑤ㅦ㔵㔳㕢挱散㌵㝣挹愳㔷攱㉢㌸㕢㔹㠰敥敢㠱戸搵㜴㝣㕡㌳㤰搰愶扣㈵ㅢ㠵㘶挹㐰摡㙤㤹慤戹晣捥㔸㉥户㤳晡㌴㐷㜲㠵〹换㉡搲昹㙥㜱㌶ㅢ戲愹㔰慡愱愱挲㔹昶㜸改摣㕣ㄹ敢〰摡㠶搲改づ㤷㘳挱㔸て㔴〳戶〱挶〶㈴收挲㤲㜳晢㜹搶㕡㌳㥥捦㜵㑥愵ぢㄹ昵㘹昴㥢慥摡㔷捦㔸扤㝡㘸晢㌳慢ㅦ昸攵てㅦ摥㌶攷散㉦愸㑦㌹〵㌵㝥㌵扤扦㔹搶收ち㔷昶㐸搰㔶慣捤慤挹㘵愹㜴搱捡㡢昹㙤㑦攲换摥扡㐹扥㡤㑢㑥摥㡣摢㥢愲㈳㤳㈳㔸㜵戰㔷㉣㑥㡢㘹ㄵ㤲㥡㔵捦㕥ㄴ晥戶戶ㅦ㜶㙢扢慣散ㄵ敢晢㉣㙢㈷㤴愶㙡㜵㥦㥤搸愳㐴㕣搶敡捥㐴搱㤷㑥㜰慥㔴㌲搲㔷㥢つ搹㄰㤷攸扤㑡㐸敡慥㤹搷㝣㉡㝢慤㤲戲搲㡣敢敢摦扣㤳㝡㜱㌷摢㍢ㄹ㠳攰昴㈶㠲捤〴㕢〸戶〲愸晢㘰㡣攸戵㈰㕤昹攸㙤挸敢ぢ〹㉥〲㠰敦㈱搶ㅣ慥挷挵挸ㅡ㙦〵㘸㜷昷昷ㅤ戶㡡〵㝤㡡㝢㔷扡㈴㝡㥣攰ㄲ㠰㔶ㄳ㘰摤ち㉢つ㑦昷㔰㐵搱〲摣ㄱ捦扥㌶㐳㝦攸㠵ㅣ㥤ㄹ㥢捥挶㈷昲戹㉣㈲㡥㜴ㄹ㠶攲〸㐳ㄵ㤴㘹㘴搶攴㐶㈶㡢㐶㘶㐵ち㕦慤㤹㡤搶㉥换㉣㡥㘰㈷〳㝦㘴つ㘲ㄶ攲㙤慣㑣㑣晤㝦㝡㈳戲㠷挴㈶戱散㤰愸敡搹㙢晢〵㡥㜸㍢㐷㜳〸㘹㕡ㄲ㜳愵搸つ〳㥥攵㘱攸㙥昸㜴っ慤扢晤户昷㥦扢昰戶㑦扦收㝣㕦〱㉤㤴㐷㌳昶㔱敢㍡㔸挰〶㘷㉢㔳っ㤱搰㝤搰㕣慥㡤ㅤ〰つ㔰〳捤〵㕡摤〸搶㜵㔷攳て㌹〵㌵ㄱ㤵昹愸㐶ㅦ㔵㘷㔹晦㝡㤰搵㥦㈷扢㐸戳㥢㈰て攰㤹㈷昴敤㤱㔵っ戰挸㥣㤸㈴搱ㅥ〰㜵㌲〰搵㔳敦〵㜰ㅦ昵㙥扣㠳扥㤷昸㑦㡣挸搴ち攱㙤挰〶昵㉣㘵慡〳ㄴ㈵㈱㘸㝡㈹戶〰摥敥昴戳挶ㅤ戹摣㈹愸㠹昳㥣㠲扡ㄲ㤰扡㥡㑣慥㈱㜸㈷挱扢〸摥つ愰昶愲㙡㝤愱扣㤷㌴搷ㄲ㕣〷攰ㄱ捡晢㠹愳昱㠰㘰ㄸ㍡ㄲ挱㝣㤰挸敢〱搴㐲〰㑥㙥㥦扥〱㘰㐶つ㔹㐰㡡ㅡ攷昲㈶㘰㠳㝡㤶㌲挵愸㔴㔹㌸搴㄰㕢㌸㠹㤹㠴ㄳ㜷ち㙡〲㔸㡣㐵㠹㜶㝣ㄴ〹㘵捥㈸㠸㍢昸㡥㍢〹敥〲昰〸攲㙥㍢慢捥挴户〸攱ㅥㄲ摤ぢ愰ㄶ〳㠸㜶㝣ㅣ〹昷㔱ㄷ攰ㅤ㈵敤㔸〴㜴慤〰㍥〹㙣㔰捦㔲愶ㄸ㉢㉢ぢ愰慣ㅤ敢㘶ㄲ挰㕡愷愰㈶慣搶〵㑥㈲㠰捦㈰愱㔶捦㈸㠰〷㔱慣ㅦ㈲昸㉣㠰㐷〰㥦户戳㡡挱㌵ㄱ挰ㄷ㐸昴㐵〰搵〳㈰〲昸ㄲㄲ敥愳㠶扤〲攸〶扡㔶〰㡦〰ㅢ搴戳㤴愹〸㈸敡〹㈰㍡㤳〰晡㥤㠲㥡ㄸ㕦ㅦ㌸挹昴㜸㥣㑤㜹㠲攰㐹㠲慦ㄳ㝣〳㐰㠵㘷ㄴ捡㌷㐹昳㕦〴㑦〱㜸㠴昲㌴㜱捥昴攸㐷㕡〴昳っ㤱摦〶㔰っㅣ摡搳攳㍢㐸捤㌸㍤愲慣㔰㌳㍤扥て㙣㔰捦㔲愶ㄸ㤲㉣ぢ愷㍣㍤㑥㥡㐹㌸㈷㍡〵搵搱换〰愳㈱〷ㄸ㜵搲挹㉤㈹㙢㉦户挹㜳㤲㌸昸ㄹ㤹㉣ㄴ㜳戲愷㙦㑢㡥收搶攵㡡愳愹挲慥戴㌹㍤㉦改㈴戶㑥㔸㔹㐴摣昲〸扣㔵攱㜲扢㜶㔹〹㥤ㅣ换㑤收攳搶捡搱挳㈱㈲〷㜱㘰昸㈴ㄸ攷㔷㜸づ㉥挸〴㔷㐰㐱㕢昰昸〲攷㠱㘱㜵慣挰攳㙤㤷㌷㜶㔴愱昶戲㐴㌷愵㡡㘹慢㈵㈹攵㤲㙥㑥㐲㡡〸㘳㈶㥡㤲㥢㈶戰㠷ㅥ㙤㑢㉥捦愷ㄲ改㔴搶攲㘰㘰戳挸搳戴㌵搶㜶㠴㉣㌷攴ち㈹㥥昴戵㈵㌷攵捤㙣㘱ㄷ愳㉦昱改戹ㄵ㌹㜱㥣〲挹攱㔴戶㠰搷挸㈸㌲摤㥥ㅣ㥢挸敤挵搱昰㘴㈶扢摣摣㔵㌸㉣㐶㠵㉢慤晤挸搰㈸扦昲晢㔵戳扦昹㘰挷挷㜸ㄶ摣㡥㈹㥦㌱㜴㐰㔷㡢昹㔴㙣㤲㐲㤳ㄷ搱㌶㌵ㄲ挸㌸晡〲㠳㐸捤戲㘹攲搶挹〹㈶㌳㔰捡昶㔶㥣愰搵㡤搹㤵捥摣㕢㐰慥㝦捥㍡捦〱慣㕡扥㜹㘵昹〸攱慦㍡ㅡてっ㠱㕦戵㉢㕡慤㝤愵㠸㉤慤攴ㅣ㕢㡤㠸愳㔶㘱㜶㐲ㅢ㤸慢㔶捤㘰㔲㘸愸愵㜳捡挹㘵〸晡戵㈶搷㤸㌱㉢㡤㑤㐷挶㉣捥戱㌳摣㐰㘶捣㜴挱㈹ㅢ挹㘵㌲㈶搵㡥㉡㍢ㄶ㌷搳㔶㜳㜲㘸戲㤸挳愹慡㑥〲㠸㙥㍡㈸㜳ち㈸㜳㑡㔰慤挹㡤㍣挳㤰㌴㜹攵戶㥢昹㔴㜱㈲㤳㡡㌷㌳挳㜳㠶挳㐲㕦㘱㐳ㅡ㈱㑣昷㜱敤㐹昵㔶挸摥ㄴ㘰戸㍢戱㌱愳攸㌸晣搰㙡扦㌲昰㑦ㅤ㘴㠸ㅢ搶㐷ㄶㄵ晤摦攰ㄶ昰〳搰ㅣ挹昳愲㝢ㄱ攴挵㉢㠰ㄱ〳愵ㄸ愱㘶戱晥愵㤳㘰愶㜱ㄴ㘰搶昸㈷㑦〶㠳㙢㜲㘶㘲ㄹ挲㔵戹㝣㤳㜳㤵愳ㄹ㐳㑢㜳㤳て㌱㈲㍤㠲㐳づ㠴摣昶愴ㄲ㔶扥㤹㠸㌱㙣敦ㅡㄹ换㌶散㌱㠴敢摦攰ぢ〴㕡㥡敢扤㙢愵换㙢㠱ㄳ攷昳㕥㔸㔹㔹挳晦㠵昳愳㌴戶攸ㄶ㡦ㄱ昵慦〸㥥〷㔰㑢〱搸㥦㉡㠲ㄷ㐸昰㙢㠰挰㌲㠰敡戱愹っづ㈳㠴㉣㘷㠵㜲〹㠲㘱敢㘶㠴㜸㈵摥ㅤ㤰㡥戴㜸攲搴㠶ㅤ愲㙥㜶㙦㔶ㄸ㘳搰㜲㉢ㄱ戴㙤㉣㌷户ㅣづ扦扦ㄱ㐳㙤㔴挷ㄱ㙢㕥ぢ㘶㤹㌱㑢〲搸慡ㄵ敤㌴㝥〳㜰㍣㈷ぢ昸㡦搷戹㕣㔰敤㑦〴㠳晡㐵㔴昱〵搵㉡㐰㔷づ㜳㠹〹㜲㄰昵㙦〹㝥〷㄰ㄸ〳㤸挵㕡㘰㤳收㠹㔱捤〱戱㤱摣㥣㑤ㄵ㌱㤱搹㥥㘵愹㈲㈳敤㐹〰㈴㈵㤸㜴扣㑣㜰㑦愵㐵㈵攷攱攴摡愲ち㙦攲愴摡㜲慦㝢戱愰㑥戱敤㜸㜸晣㡤㝤ㄱ㠹〳㔲愷㡤㠷㤳㐷愲散攰㠲攳㤴愸㠵㌳㠷攲㍣㜲攷㠲昲㔷昸㉦㘲㍥㝣晡㈵㜰㠱㘹愰㉢愳㝦㡦㈴摤㤹㑤昸㥥㕤㐵慡㈲㤳㐱扡㌴㌶慥捤〹㝤慦捣ㄶ㘰㄰㠲㑥づ收㝥㡥㤳㕣㍦㔹慣㈸㌱愷收㌹㈵㠸改慦捦㘲㤱㡥㥢昹挴㘱㘲攱㈱〸摢ㄹㄱ㘳㝤㤰㡥㈲㤸昰昱搸㘵戸晥㉦〳㐳㔹㙦挶昷㠱〴㜶戹捤㙢愳戸㑢昱摥㘶收搶㕡㘶㔶㐶㘱慣㤸ㄸ戵昶㠸搷扥挱㠲换㡤摢㕢㘹㙢㥥㔴㈸㘵挵㥡改攴㔰慣〰て戰挸愵摤㐹挹㐴搷挹㡤㔶摡攴〱㍣㔶㘲㈷戵㈱㕥挴㌱㐶㠹〱て搷て㥦ㄱ㠲㐴ㅡ㥤㔱㔲㌲㑥挶㉣捡㕢搹〹捥愱㠳ㅣ㔵㤸昷愴㍣扦㌹㑦摤㜲㌳㥦㑦㥣攷㜳ㄳ捥扥㘰ぢ搸捦攲㔰挲搶㔶㐷攱攷戹㠷㐳戶㠵ㄳ攳搵敡攲攸㜵戶㜱㠷㤰㉦攲〶ち㉦㜲戵㜳敡愴戱㉣ㄷ㔳㜰戰搲搳㜳㤲㉢戳昱昴㘴挲ㄲ敦捣戵搹攲愴ㅤㄶ攳㈵㔷㔳敤戱㥡㐵㉥㡥㔰㔶攲㝥慡㝢㈳攱攰户㘹晡てㄸ〴㌱㜶攰ㄱ搴㝦㐲㡥昳㙥㉢扥て昸挸㈳㠸㑡㜳换〷㜶㜲ㅦㄲ愶慤〶㐵㥢挶戸㜵改搴㐴㘶㥣㠷㙣㑤㙥㑤㡥摢㍣て㙡㐵捡㐶ㅤㄶ攳㠴㝥摡㠶捦㌰攰愳ㅥ攴っ㈱ㄳ㔸㍤昹昲扤㜸㠵昳つ昷捤昶㐹㜹愶㘱晢㜲攲㥢㜲ㅦ收㉦㙦挶ㄴ㑦㍢〶昱搱慦〰㈸ㅥ㝢っ攱㠳㠵捡昶㝢㕦㐵㝡摦㝥㉦㡦㐷攸敡敡㍦〳戸㡦ㅡ㐷捡昵㤱㠸㜴㥣挹扦㈰愹㕦〳㔰㤷〰搴㈱㈰㉢㑤扦㉥㄰〳㐱戵㤱㤹㌱晡㑦㑦㌵㤰愱㑦搸㥣愱㙦㡣㈹㙡攰收〴㑥㌷攰㥡ㄹ㉤捤㈶捡戵ㅦ㙣扦晥攴㤳㡣搵昸㤴〵攰扥㍦㠰戴攳挴㌵昰晤㥣㐲㡡晢㔷㈱攵㠱㠴㙤㙣搴㉥攰㐴㥥㐶〰㈴〷戲昱㔵扢㔱㜵㄰ㅦ㙤㤰㜹ㅥ愹㈱㝣㑡㝢㡣㘶㘰昷㉤敢㈲㙢攰愳㌵㤹㌸ㄹ㌵㠹㠴摢㤵㐶愴㥤慥〴㐱愰㕢㐸戸愷㍥㐱㉢〹摡㐸戰ㄷ〴㜴摥㡤㌹挸〵㕤愷ㄸ昷㈳㠷㠱㐴捣㡢㈳㈶て㍣㤸㄰㐸攰〴㌳㌲敦扥㜴㉥㌱戶ㄳ㝣〴㜹捥㈵捦慢㠱愴㈳散㌸㐱㐷戲㥡攳〴ㅤ㠵㌴っ㠴扡〶㈸㍡㐲敥㔳戹㝣ㅦ敤㔰扤ㄳ挵㕣挲搹攱㝤㉤〷敡㕤愰攳㤲攰搳挷㠰扣㙣㤳㡥㜳㤸㌱㡥㑦扢㘴㍦㌳捦㥣昷㠲㐰㐶ㅡ昶〸㔵慢㘷捥戵㈸ㅥ挴㐷ㅦ㡦㐲㜵ㅤ㔲㐳昸㠰搲㥥㌹昳㠱摤昷㘸扥㕦㙡㠰挹㠹㈰㜷ㅦ昵㐱愴㕣挱ㄲ改捣㥣㤳㐰愳㑦〶㔰搷搷㈷攸㈰挱ㅢ㐸㜰〳〸㌸㝢昴㈹挸㤵ㄴ晥㈶㑦㌵搹㜴摡〳㜶㉡慢㉤㘰㌵㐶昶慢ㄵ晥づ攰㙣㠵㕦〸㤲〳㔲昸㍢㔱㜵㄰ㅦ㝤ㅡ㤹摦㠵搴㄰㍥㈵㠵㍦ㅤ搸㝤㡢攸㙥搶挰㐷㥦㐱㈶㑥㐶摤㠳㠴㉢愲㐶愴ㅤ摤㍢ㄳ〴㝡ㄱ〹敦慤㑦戰㤸〴㘷㤱攰攳㈰㄰㠵敦㐴慥慣昰㍤昵ㄴ扥ぢ㈴㔰昸㑦㝡㜸㝡ㄴ㍥㑣㥥摤攴昹ㄹ㄰㔴换敦㐱攰㙣昹昵㠰攴㠰攴昷㄰慡づ攲愳㈳㘴晥㔹愴㠶昰㈹挹慦て搸㝤换㡦㠷づ㈰挴㥤㕣㌲㜱㌲㡡㈷て㜵攴ㄷ〵㠱ㅥ㈰㈱㑦㈵敡㄰㥣㐳㠲㜳㐹昰㈵㄰㠸晣摥㠴㕣㔹㝥㤱㝡昲㝢㌳㐸㈰扦㐷㍣㍣ㄹ㜴㜷〶敤㍣㤴敡㐱〰昵㌸㤰ㅥ㠳㌱捣㙡㡥挱ㄸ㐱㥡〶攳〹愰㘶㌶ㄸ愳づㄵ㡦㈵昶摢㘰昰昸挲㌶ㄸ㑢㔱扤㙣㌰㤶㍢捣扥㠱昲晤㌱ㄸ摦〴摤㉣〶㠳㠷ㅦ㠳昸攸ㄵ攰慢㥥㐲㙡〸ㅦ昴捦㌶ㄸ慢㠰摤昷㘸㍥㉤㌵挰愴挲㘰㍣〳慣㍢㔸攴改ㄸ㡣㌵㘰愹搷昲㙤摦慥㑦戰㡥〴敢㐹挰挳㤵ㄸ㍥㝡〳㜲㈵㠳挱昳ㄳ㤷慦挷㘰㥣捦㙡ㅢ㔹敤攷㈰挰户㑦㡦㌱攷㘴〲㡣㤶㔵〷㠱㙡〲㜴㡤㈰挲挶ㄵ愱扡戱攲㜴ㅡ攱㔱㈶ㄹㄴ戲㔳㕣挲敤㘲㠴慡㜲㜹慣挷㡤搵搷㘰㑡㜵摦〴㔶㉤㐷㔶㕤攱㤵㙡㉣㜹づ㥦挰㍦晥愵昶㥡㙡愹㍥ㅢ㕥扥捦挷㍡㝣㡣捤挰ㅦ戹㌶㠵敢㙤㠵㕣戲搸㌱㠶昰㝦〷慦㐴㈷攱搳づ〵敥〷挷扡敦㘴挷ㅡ戳晣晤捥ㅥ㕥ㄱっ敥捣收昶㘶愵㌵㠱〲㙦㠶昳㙤扡愹㠹慦愱愷㉢捦愹㄰㕥㠸㔱㐳㔶搶㕢㐱搲搶㄰晡㤵㕤收ぢ㍤敦㈶ㄸ㘷攳ㄳ㘲慣㡤㑦㠰昱愸晤つ㝣㤱户㡡愹戸㑡㈸慢戱愹愹㈶〰㔲ㄳ㌰㉢㕤攰㌴っ挶换〲昷愱换搵㔱㤳晡㤵㉡㈵捡捡㝥㝣昴㌶攰昵㠵〰挱㄰㐳㘵㙣㤰㜱ㄱ戲㜳㐶㠶挷㍤㜱㝦攳㉤挰戵〲㈷づ晤㐶㕣摡㌶㉥〶收〸㘰㉡㝦㉦㘵扣ㄵ攸戹㐰攳㔶愲㝢㑦㤱㉡ㄴ晡㥤挳扤晣ぢ㈲㙤㠲㔴㡥扥〳㉦愱戰扡ㅢ㥥㐸扥㈷昸㐳㥤て㜹㈲㜲㈲㤰㈳㤲攷㑦㥡㘹晣㕡㙢㍤戶㠵㐵愲づ㠷捤㐴愳扤㌹摦愷㉥㐸ㄷ㉥扡㤸㐳㔲㉤㠳捡愱㜴晡㈶ㄷ㜸て㙥㙢ㄲっ摣戶㑦㠵㜱摦㠲挱昱㑣㐱戶㡥晥㝣㔰㈷㔰㐰戳晦㝢攴㐸㔳戹挵㜸戹ㅥ㌶昰〷㘰昷㝦摦㑢慥昳捡攱㜰ㅥ㝣㉣㑡㈳〴戰ㅦ攷㑣㐹搴㔵摣敡搶戶㑣戶㔳㈸搱ㄳ愴㐱㠲摤㔱慦〲搰㌸慡て㐳㌰㌴㐹㐸攳摡づ捡㘷戴㌳敡㈶㤰搱搶㔴摡㡡㍦戳㈶㥥㄰户㔳㝣㐲挲㡢〹㜹ㅤㄳ摣㐳昱㘹昷㈳挱敡㠶㘴て㈱〸㜱慦挴㥥ㄹ㘹㈴慡㘷㜱〶戸捡㔹㥣〵愶㜶ㄶ㠷㘰摣㠵㑢昹挷㘰㝡㌷㔰㠸㌲搹戲搳㜹㈷㈱㐲攴㍥㐹㠴昸㍥㡦㄰㌵㡤㌵敤戲扡戶慥扣戸㕢ㄲ摢扡〷〹搸㔶敥㡣愴攱㝢㤱㔸㌸㌲㍣戲㜱㍣摡ㅤ敦改ぢ昷㕢㝤戱晥㘴愴慢㌷ㄱ敤㡥㐶慣㘴搸敡㌱扢㘳〳㍤戱ㅥ㘳慡㐴摡搷搷摤㍢㄰改敢㡦㐶愳㝤㤱㜰㙦㙣㈰摥搷搷㙢昵っ㈴捣㜸㙦㙦㔷戸换㤸昶㤲㐶㑣㌳㘲㠵愳戱慥㐸㜷㈲㘱昶㈴愲攱摥戸ㄹ㑦㠶ㄳ〳〳㕤昱㄰户㘷㙣㠹扥ㄴ〹晤㌶㠲换〰㐲摣㥡〹晥㜲愲摥㑥挰㤳愶㄰㜷㙢㠲ㄷ㔲愹㐴㝡挵㑤ㄹ㔷〳㜵㌹〴㐰㑢㉤ㄶ昷㙡㘰昵㌵〰挱㄰昷㘵㈲〲㕡㕣㑤ㄳ慢㘹㔵㌵㙤㘸㠸晢㌵㈹㥣捦愶㥣㐸㜰ㅤぢ㌷㤰㈳㌷㙥㌴㥡㐱㤵〷㕦㑥㙡㌶㈰愸㍦〰㍣㈷㈷㌷㜳昸㕦攵㤴㜰昳㔶㡢攵㥥㡣ㄳ㔴㕦捦㘲敥挹㙡㘹㡥㜷戱ㅦ㜲ㄲ㝣㥤㥡㡦㡣㡣㝢ㅡつ㈸㑤㥥㥢㠰㥤㜹昲散〰㘹敤攴㜱㝤愷搰㐹愸捣㈷挴㕤㤵㈴㍡摣〴户㔱㝣摡㑦㐱攲昵㤹㍣摣㜷戱㘷挶㠷㤱愸㥥㍣晦〰㕣攵攴戹ㄹ㤸㍡㤳㘷㠱挳㐵㥦〲㔶昲摢㐴㝤㉢㔰㑡昶㕣㐴摤挶ㅣㄲ㈲㐴敥戹㐴㠸㌱㡦㄰换㤳攷㤲扡昲攲捥㑢㤴攳㑥㈴㌰㜹戸换㤲㠶摦㠵㠴㍤㜹㘲搱㜰㔷愴慦㝢㈰搶㘳昵㐴攲扤摤搱㠱㐴㌴ㅡづ㐷㈳昱ㅥ㉢ㄹ改敦㌳㍥㔶㈲㑤㈴㘳㝤㔱㉢摣摦ㅦ敦ㅥ㠸㈴晡挳㘶㔷㕦㌲摥搷摦㤳戰晡扢〶攲戱戸㜱㜷㤹搴㡣挶㝡ㄳ摤〳摤㔶㜷㉣搲㌷㤰㡣㐶愲晤㍤昱㔸㈲〶捥㍤㘶㌲ㅣ攲㔶㡦㉤搱昷㈰愱敦㈵昸㌸㐰㘸戱㡢扦㡦愸㑦㄰摣㑦㍣㜷㝥㜵攸ㄵ㌷㜸㌲㜹㌶㐲〰愵挹昳㘹搶㝢〰㈰ㄸち〳捥㌸㜹戸昷㤳㐲㕥㤱㤳㥦㙢敡㠷㔸㔵㈶㡦散摤㠸晦ㅣ㔰昸㙦㡦〳昷㙥㌲づ换敡㡥挳㘸摤㜱攸㐷㈵㜹捦㤷㤰挰㌸㜰户㈶攳昰慦㐸搸攳搰ㄵ敢㐹っ㐴挳㤶ㄵ㡦挰攸昴㜶挵挲搱慥摥㜰㜷㔷㜷愴㉦搲ㅢ敦敤㌲扥㕣㈲㡤㠷愳㘶㕦㜷㝦㉣㙣昵昷㐷㘲㝤〳〳摤㕤㤱㜰㉣ㅡ㑦昴搱㥡㠵攳挶挳㈵㔲㤸扦㐴㈴搲㥦散㡤㐴扡㈳攱㥥㘸戴ㄷ〳ㄷ敦㌵㈳㜱㌳㥡㠸つ㈴㐲〳㑥㑢昴㈳㐸攸㐷〹晥つ㈰㜴㡥㡢㝦㡣愸慦㄰晣㍢昱攷扡昸㑡㝡昵㘶攰㘵ㅣ晡扣攳昰〴敢㍤〹㄰っ㜱慦㌸攳㌸っ扡㠵㕤㤴㜷㤸攰㕢慣㉡攳㌰㡣㤴㙤挴ㄶ㠱㜷搹㠸㍤〳㍣㡤搸〸扥昱扦捡㠸㡤搶挵㉥〵㔶㡣搸㜷㔸捣㝤㈲晥㔷搵㕣攱㘲扦攷㈴㌸㔲㙡ㄵ㌲㌲敥ぢ扤攳㑥㈳㈶㡢搷愹㜵挷㝤㡤ㄴ㐳㙣摣换昱〹㜱攳㈶〹㙥摥昸戴㜳摦昶晡㤸愹昳挱㔹收っ捤㤴愶㕤搲㌴㐵㈱㙥〰〵摦㠷昷换㉦㝥昵捦㠸攷㔶㔰㠶攸㔹㈴摡ㅡ〲㕢昱㜵敥捣㘷慤ㅥ扦㝦ㄱ㡥㈴㉡㝥㈵扡ㄴ扦晡㥣收㍡搶㠰㡢づ昶昵㠰㐶晦㌹〷挷㡢㡥㙦ぢ㔸昱ㄳ㌸〱㜲晥㉢昸愰㐷ㅥ㙦㤵ㅣ㑦挶㐷㍦〷㝣晢㌶〰㍡㕡㔵捥搶㡢ㄲㄹ〰㝥㄰ㅦ㍣捤㠳昲攵ぢ㌹摦㐷づ戶㕦攸搶扣㔸扤攱㠶愱挰㡦慦愸扥敤㘸搷㜰攱〲愷收戶㐱㘵愲㈶〳㉡㜲つ摣㜳〳晡㘸㜴戳敥ㄵ昰愳㥣㠲敡ㅦ㘴㘱㙢攸攸昲ぢ㐸㜰㜴㐵㙢㤳㉥搶㜵㍢㤱昷㠵㈶〰㘵愰㝦㠳㐴㕢㠳摡㡤慦㜲㉢㜶戰㍤㌲昳收捣搴㡡㌶愷愰晡㈲㝡㠸晥㥥㜰㝥挹收㑣愷㡤㙡愴㕡㔰㠳㘳㈷攲㝥ㄹ㤸挰愵〰㜵㑦㤸慡晦㌲㠳昷捦㕤㜰㙣㡥捡慣㉣㘰㙢㠹㥦㘸㙣捡つ㤵晥收挶ㄱ敥㤶㜳㤱晢㕢搱㠵㘵㡣㝢㠰敢㔶㕢㥦㉦搵挳㙦㉦戱搷㐷挱㈲晥戲昴愸㜲捥㜳㥢攵㠴㌲ㄶ攷昶㌸㑤戴ㄲ㉥挷〲㠲㝡㡤晥㠶㥡摦㍡挸戶搴昹敢ㅡ扣扥㐲㙥昸ㅤ昴捡㐴ㅢ㝡㜰㐲㥤扢㍣挳愹愲摣㠵愳㈹㔰㝡㉦㠴㘳晣㤱㘲㕡戲㘰昹㠲敥㐰ㄳ㐴㔷㝤愰㌲攳㉢㔰捤愳攴㝣㈱㜵㈱愸㕦㐱㠱愲昳㐹搱㉢㍤〵㘸扣ち㠰㜷㉣㕢搰慤ㅡ昰づ扥㠷攳ㄷ搴㝦㈱捤㘵〰㌶昱㌴㠹ㄹぢ〰昱ち㄰扦昶㘷㥢㤸㜳㍣愸晤昸㔲㤷㠳挴慤慦摥敥㘴㐴ぢ改晥戲㠴挴敤㔷ぢ愷㠳㤹㘶昴㠶㘵㠲捥㍥捤㡥ㅥ挴㙢昰㥣㌴㈸㕦扥㡥㐱㜵ㅤ㙡㤶ㄵ扣㝣㤵晣ㄵ昴愲敥㌴晢㤳㔳㔰昳㐳〳㝡捥昸㡦㍦敡㠳捥㤴愶㤹戸挴挴扡づ㉡㝢ㅡ愲ㄳ㉣㤳㈱㠸㉣愶ㄹ扤扢㜲㉢捡搳散㜷㌳戵攲户㑥㐱昵㡤晥㄰㍤㐳攱捣扦㍥〴捥㜴敦㘴㥡晤て㙡㤴愶搹㕣ㄴ㉡晡㔷昶㄰搲攷㌳㡥〴㑥挶扢㐷㍤て㕡㜷扣㠲晡㘸ㄲ搳て戳㠹改昵ㄹ挷摡挴换ㄷ昴愸㕦㌸挴戶㈶ㅤ㑦㘲晡㙢㌶昱摤㈴㥥㙦ㄳ慦〰昱捦ㅣ㘲㘰愰ㅣ㈷㤱㤸敥㥣晢㌲㐵户㡥ㄹ㔱づ扡㜷㈵攵愰攳㈶㐳㡣㥡㥥㘷㍦㙣㌰扤扤晤㔰㡥昹㠳㌶摢戳㥣敦摥㐱昵㄰㙡㤶㠷愵慣ㅣ㍦㐴㉦敡㉡挷て㥣㠲敡摦ㄹ㠴㍥〷㑥㌲㉣ぢ搰㘵っぢ扤㍤ㄹ㤶敦愳㐶㘹㔸㑥愳㍣攸㍥搹挲愳ぢ㘸㥣づ㥣捣慣㠸晡戶㈳㍣㝢ㅡ㥥㐹㘲扡㘵㌶㌱㥤㐰㘳戱㑤扣㝣㐱㐴㝤换㈱戶㠷愵㤳挴㜴摦㙣攲㠷㐹摣㘵ㄳ㉦〳昱㝦㍡挴挰㘰㔸扡㐹晣ㄸ㐸㑡挳㐲㉦慦㌴㉣昴昶㑡挳㐲㍦敥攰㠶㠵捥摦扥㠷攵㤸㥦挸㜰㕣昹昰㑢昶戰散㘸ㅥ㔲㜴〰敢つ换攳攸㐵摤㘱昹㥡㔳㔰昳敢〷㍡㡡昸敦搳㔱㜴㤹㤲ㄲ扤ㄳて㤰搸㡡㌹晢㍤㄰捡㄰㥥〳㕡っ㈱ㅤ愳㜲㉢捡㜳昶搱㤹㕡昱㠸㔳㔰昳㌳㠳㘷挱㘹㕦㍦㌳昰晣㍤ㄱ㕥㘴ち㈴ㄹㄳ㙤㐹摡㘸晡㐱㜲㘱㉣㉤㌱改㔶摣〸捥攳㉦㝡慣挱攵㜷摣〳挶摦㝢㜲㐲慣戸ㄴ捦挳㜴昷捥愹㤶ㅣ㉢ㅢ挹昵㜹㕣㐲㙤㑡慥㉣攰㑡㔴愲ㄹ㝦㤱愰㠸㕦㘱㘷て㠷㈸㈸㑥〹ㅡ愹㤷ㄸㅣ晥ㄵ㄰㝦摤〰㍤㈳敦㜵㔷㐱戹㘸搹㔹㤶㠷㝢㉤挶捦㡢挴〷ㄷ〳㌵〶搱ㅣ敦愱㕦挲㜳㍤扥㔱㝤ㄹ挳㙣挷㈷慥昴㌹〱㍣㍦捥㠳㔰挷ㄸ〱㘸㐰㕣㕢㜴づ㈰愸㐷㠱戱捦㡡㠶搹挳〰摤捤敡づ昲搸㘴ㄹ攸㝣㔵㝦㜲愳愵㠵扤㜶㥦㄰扤㍢搱㑦搲敡攵〴㉢〰㠲㡡慥ㅣ㔵捣㔸㠹㙣昹搷慥㝢攸摤ㄴ晣敡㐱户扤捦㜷ㅦ㔷㙥敦㙡搶愷㔲㉢㈴昸〴昵㕡愲㠶㤱ㄴ攰㔳㜴攴㠴敦㝡ㄴ捣㉣㡦〷㕣晥㍥慦㍣捥㐷ㅤ㘳㈳㐰愵㍣挶㠰昱扥㠳晥㈰㘵攲㍥㡤慦㈰㌳㥢㤳挴〹摣㤴ㄹ㌷昹〷晢㥡㌳攳㘹㉢扢扤㌸㔱晡㈳㝤〸晥攳户愴㝡㌳摥㠲晦昲㔱㜴㘷挸㔵㙦昱㘲改户〸㜶慢〷ㅢ攲搲㉥㌲扥〰〹扤㡤攰㐲㠰愰攲㍡㑥㔹㘸捡搸慦敥㜶晢㕣㈱搳㡢㐹㕦㤶㈹挷㝦㥣愸㘱㌴挵㤱㈹㔷㙤㤱愹㠹挴捣㌲晤愸换扦㐲愶㜱㌲愳㑣换晡㘵ㄱ㌵㕣收捦㠵摦㉢㑦挵挵㕤晡戹ㅤ〹晣户㘵挲㔵㕣戰ㄳ㕥㉣㤷㙢挱愶扣㔸慥㘸搲攴ㅤ㐸捣摣攴㥢敡㌶㌹㡤㍡㔵㑤捥ㄲ㌵㕣㙥㌲ㄷ挵㡡㈶㜳攱㤳㘶散㐲〲晦敤㈶㜳㠵ㄳ散㙥㉦㤶㑢㤹㘰昳ㅥ㙣㠸搶㕥㠶戱㠰㠴㉥ㄲ㑣〲〴ㄵ㑤扢㘷ㄸ摦攳戶戹㘲ㄸ愷㐸㕦㌹㡣㤷ㄲ㌵㕣㙡㜳㠰戳㝤扦捤ㄱ搴收㘰㑦㉢㉥挳㝢ㄴ㙤〸㜹攸换㥤〴㌳㡡㔶㐰㍣㡣慢搰〹㝡ㄸ㌴ㄶ捤㝥㐳搱㌲㐸挱㍢㥣㠲㈵㔲愰ㄴ慤㠵ㄴ㕣改ㄴ㜰㝢慢摦㐱愶慢〱搸㈷㝤ㄵ㜳㌴〴昲挲扦㜳ㄲ昲㐲捥㘸愱戹㥡㔸㑥㘴愱戹挶㐳搳捥㠹㐷㙣㌳愷㘹㍢㈷㕣㌹挷㠹㔶捡㈹㑥㌰㘹捣愵㔵捤攷愴㤳㠲改慡收㜳㈲㑡挱㤴户昹敦㈱㔷㑥㍣㘹摡㝢㤹攳㥣㤳愶㕤敢㈴㤸㔱㥣㍣㐲㜳ㅤ戱㥣㌷㐲昳㍥て㑤㍢攷㐸愹㠹敤㥣ㅢ攵ㅣ攷㐴㈹愷愸搷挲敤晤㐴㔳愵㠵摢〷㥣〴㌳敤㔴摦㔲㡤㜶慡㙤㌹㐷㜵㉤攵ㄴ搵㔴扡戶慢㑡ㄸ㔴㕤㈹挸㔵〹㠳敡㉣〵㔹慦㌰㍥㐴慥㔴㕦㘹摡㡤捣㔱㜳昹㈲㝤㤳㤳㘰㐶㠹㕥ㄱ晢昷挰扡㑦㠸晡㈵搳收挳㐸戴㌵戴㔳㌵戶愲搴㍦愵攲㤷㈴㉥戹攴㡦敤㡤ㅤ挷㌷㕥㌰搸㝡昳㡦ㅦ晦改つ㑦扦㘵挹㉦㕥扤昵搶愷㥦扤攱挹㔷扦ㄸ㕢昲搵扢敥㝡㙣搵敤㑦晥㜴㙥昲づ晦㠳㝦㕣㜳挷㘵攱㥤㤷敤㑥㙥㍥㜳昹㘵摢㜶㥣ㅦ摥㜰挴愲㠶㠶愶愶㌷捥晢㡦㘳㑦て㕤戹晢戳敡㤱敦ㅥ㤳㔵㔷攱〵搲㌸㌷㐶挱愶㠴愸㜵搲㡣㥢㤱㠰㈳㈶晡㠶〲㝤ぢ昲敥ㄳ愲摥〹搵㐷㠴慡㥤㡡昰扡㌶㔶㜴㡢捤㜰扤㐶㌶㈵㐴ㅤ㤳㘶摣㈶捤㔰愲㕤愴慡㘸㉣戵㑣愸㙥户愹㐴㙢㙡愸愸㍤㐲㜵愷㔰戵㜳㌸㕦搷㉥㠹㠶戰ㄹㄵ㕤愲愶㐸㌳㍥㈶捤〸戹㍡愲愸ㄶ愲㜴㙦㜱㤴㙥ㄸ㜵㥢㜱搹㠷〳㈵〵ㄷ㔵ㄶ㠴㕣㈱㈸づ㤲㔰㕣㔸㐹愱㈸㌶㈹搸㔶㔵㐰㐹㐹挱〵㔵〵ㄴ㡥ㄴ㙣慤㉡㘰㜳愵㘰㑢㘵㐱换晦〱ㄶ㈲挶㜸</t>
  </si>
  <si>
    <t>Demand</t>
  </si>
  <si>
    <t>Average Ventilators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</si>
</sst>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6">
    <numFmt numFmtId="43" formatCode="_(* #,##0.00_);_(* \(#,##0.00\);_(* &quot;-&quot;??_);_(@_)"/>
    <numFmt numFmtId="164" formatCode="0.0000"/>
    <numFmt numFmtId="165" formatCode="_(* #,##0_);_(* \(#,##0\);_(* &quot;-&quot;??_);_(@_)"/>
    <numFmt numFmtId="166" formatCode="#,##0;\ \(#,##0\)"/>
    <numFmt numFmtId="167" formatCode="0.0"/>
    <numFmt numFmtId="168" formatCode="g"/>
  </numFmts>
  <fonts count="3" x14ac:knownFonts="1">
    <font>
      <sz val="11"/>
      <color theme="1"/>
      <name val="Calibri"/>
      <family val="2"/>
      <scheme val="minor"/>
    </font>
    <font>
      <b/>
      <sz val="11"/>
      <color theme="1"/>
      <name val="Calibri"/>
      <family val="2"/>
      <scheme val="minor"/>
    </font>
    <font>
      <sz val="11"/>
      <color theme="1"/>
      <name val="Calibri"/>
      <family val="2"/>
      <scheme val="minor"/>
    </font>
  </fonts>
  <fills count="4">
    <fill>
      <patternFill patternType="none"/>
    </fill>
    <fill>
      <patternFill patternType="gray125"/>
    </fill>
    <fill>
      <patternFill patternType="solid">
        <fgColor rgb="FF00FF00"/>
        <bgColor indexed="64"/>
      </patternFill>
    </fill>
    <fill>
      <patternFill patternType="solid">
        <fgColor rgb="FF00FFFF"/>
        <bgColor indexed="64"/>
      </patternFill>
    </fill>
  </fills>
  <borders count="6">
    <border>
      <left/>
      <right/>
      <top/>
      <bottom/>
      <diagonal/>
    </border>
    <border>
      <left style="thick">
        <color rgb="FFFF0000"/>
      </left>
      <right style="thick">
        <color rgb="FFFF0000"/>
      </right>
      <top style="thick">
        <color rgb="FFFF0000"/>
      </top>
      <bottom style="thick">
        <color rgb="FFFF0000"/>
      </bottom>
      <diagonal/>
    </border>
    <border>
      <left style="thick">
        <color rgb="FF0070C0"/>
      </left>
      <right style="thick">
        <color rgb="FF0070C0"/>
      </right>
      <top style="thick">
        <color rgb="FF0070C0"/>
      </top>
      <bottom/>
      <diagonal/>
    </border>
    <border>
      <left style="thick">
        <color rgb="FF0070C0"/>
      </left>
      <right style="thick">
        <color rgb="FF0070C0"/>
      </right>
      <top/>
      <bottom/>
      <diagonal/>
    </border>
    <border>
      <left style="thick">
        <color rgb="FF0070C0"/>
      </left>
      <right style="thick">
        <color rgb="FF0070C0"/>
      </right>
      <top/>
      <bottom style="thick">
        <color rgb="FF0070C0"/>
      </bottom>
      <diagonal/>
    </border>
    <border>
      <left/>
      <right/>
      <top/>
      <bottom style="thin">
        <color indexed="64"/>
      </bottom>
      <diagonal/>
    </border>
  </borders>
  <cellStyleXfs count="3">
    <xf numFmtId="0" fontId="0" fillId="0" borderId="0"/>
    <xf numFmtId="43" fontId="2" fillId="0" borderId="0" applyFont="0" applyFill="0" applyBorder="0" applyAlignment="0" applyProtection="0"/>
    <xf numFmtId="9" fontId="2" fillId="0" borderId="0" applyFont="0" applyFill="0" applyBorder="0" applyAlignment="0" applyProtection="0"/>
  </cellStyleXfs>
  <cellXfs count="34">
    <xf numFmtId="0" fontId="0" fillId="0" borderId="0" xfId="0"/>
    <xf numFmtId="0" fontId="1" fillId="0" borderId="0" xfId="0" applyFont="1"/>
    <xf numFmtId="0" fontId="0" fillId="0" borderId="0" xfId="0" quotePrefix="1"/>
    <xf numFmtId="0" fontId="0" fillId="0" borderId="0" xfId="0" applyAlignment="1">
      <alignment horizontal="center"/>
    </xf>
    <xf numFmtId="164" fontId="0" fillId="0" borderId="0" xfId="0" applyNumberFormat="1"/>
    <xf numFmtId="165" fontId="0" fillId="0" borderId="0" xfId="1" applyNumberFormat="1" applyFont="1"/>
    <xf numFmtId="49" fontId="0" fillId="0" borderId="0" xfId="0" applyNumberFormat="1"/>
    <xf numFmtId="165" fontId="0" fillId="0" borderId="0" xfId="0" applyNumberFormat="1"/>
    <xf numFmtId="1" fontId="0" fillId="0" borderId="0" xfId="0" applyNumberFormat="1"/>
    <xf numFmtId="0" fontId="0" fillId="0" borderId="0" xfId="0" applyBorder="1" applyAlignment="1">
      <alignment horizontal="center"/>
    </xf>
    <xf numFmtId="0" fontId="0" fillId="0" borderId="2" xfId="0" applyBorder="1" applyAlignment="1">
      <alignment horizontal="center"/>
    </xf>
    <xf numFmtId="0" fontId="0" fillId="0" borderId="3" xfId="0" applyBorder="1" applyAlignment="1">
      <alignment horizontal="center"/>
    </xf>
    <xf numFmtId="0" fontId="0" fillId="0" borderId="4" xfId="0" applyBorder="1" applyAlignment="1">
      <alignment horizontal="center"/>
    </xf>
    <xf numFmtId="164" fontId="0" fillId="0" borderId="0" xfId="0" applyNumberFormat="1" applyAlignment="1">
      <alignment horizontal="center"/>
    </xf>
    <xf numFmtId="9" fontId="0" fillId="0" borderId="0" xfId="2" applyFont="1" applyFill="1"/>
    <xf numFmtId="0" fontId="0" fillId="2" borderId="0" xfId="0" applyFill="1"/>
    <xf numFmtId="165" fontId="0" fillId="0" borderId="0" xfId="0" applyNumberFormat="1" applyFill="1"/>
    <xf numFmtId="4" fontId="0" fillId="0" borderId="0" xfId="0" applyNumberFormat="1" applyAlignment="1">
      <alignment horizontal="right"/>
    </xf>
    <xf numFmtId="166" fontId="0" fillId="0" borderId="0" xfId="0" applyNumberFormat="1" applyAlignment="1">
      <alignment horizontal="right"/>
    </xf>
    <xf numFmtId="4" fontId="0" fillId="2" borderId="0" xfId="0" applyNumberFormat="1" applyFill="1" applyAlignment="1">
      <alignment horizontal="right"/>
    </xf>
    <xf numFmtId="166" fontId="0" fillId="2" borderId="0" xfId="0" applyNumberFormat="1" applyFill="1" applyAlignment="1">
      <alignment horizontal="right"/>
    </xf>
    <xf numFmtId="9" fontId="0" fillId="0" borderId="0" xfId="0" applyNumberFormat="1" applyAlignment="1">
      <alignment horizontal="center"/>
    </xf>
    <xf numFmtId="167" fontId="0" fillId="0" borderId="0" xfId="0" applyNumberFormat="1"/>
    <xf numFmtId="1" fontId="0" fillId="0" borderId="0" xfId="0" applyNumberFormat="1" applyFill="1"/>
    <xf numFmtId="0" fontId="0" fillId="0" borderId="0" xfId="0" applyAlignment="1">
      <alignment horizontal="left"/>
    </xf>
    <xf numFmtId="0" fontId="0" fillId="0" borderId="0" xfId="0" applyAlignment="1">
      <alignment horizontal="right"/>
    </xf>
    <xf numFmtId="164" fontId="0" fillId="0" borderId="0" xfId="0" applyNumberFormat="1" applyAlignment="1">
      <alignment horizontal="right"/>
    </xf>
    <xf numFmtId="0" fontId="1" fillId="0" borderId="5" xfId="0" applyFont="1" applyBorder="1" applyAlignment="1">
      <alignment horizontal="center"/>
    </xf>
    <xf numFmtId="168" fontId="0" fillId="0" borderId="0" xfId="0" applyNumberFormat="1" applyAlignment="1">
      <alignment horizontal="right"/>
    </xf>
    <xf numFmtId="2" fontId="0" fillId="0" borderId="0" xfId="0" applyNumberFormat="1" applyAlignment="1">
      <alignment horizontal="right"/>
    </xf>
    <xf numFmtId="165" fontId="0" fillId="3" borderId="0" xfId="0" applyNumberFormat="1" applyFill="1"/>
    <xf numFmtId="164" fontId="0" fillId="0" borderId="0" xfId="0" applyNumberFormat="1" applyFill="1"/>
    <xf numFmtId="164" fontId="0" fillId="3" borderId="1" xfId="0" applyNumberFormat="1" applyFill="1" applyBorder="1"/>
    <xf numFmtId="166" fontId="0" fillId="3" borderId="0" xfId="0" applyNumberFormat="1" applyFill="1" applyAlignment="1">
      <alignment horizontal="right"/>
    </xf>
  </cellXfs>
  <cellStyles count="3">
    <cellStyle name="Comma" xfId="1" builtinId="3"/>
    <cellStyle name="Normal" xfId="0" builtinId="0"/>
    <cellStyle name="Percent" xfId="2"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Active</a:t>
            </a:r>
            <a:r>
              <a:rPr lang="en-US" baseline="0"/>
              <a:t> Cases by Week</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v>Actual</c:v>
          </c:tx>
          <c:spPr>
            <a:ln w="28575" cap="rnd">
              <a:solidFill>
                <a:schemeClr val="accent1"/>
              </a:solidFill>
              <a:round/>
            </a:ln>
            <a:effectLst/>
          </c:spPr>
          <c:marker>
            <c:symbol val="none"/>
          </c:marker>
          <c:val>
            <c:numRef>
              <c:f>Model!$E$7:$E$15</c:f>
              <c:numCache>
                <c:formatCode>_(* #,##0_);_(* \(#,##0\);_(* "-"??_);_(@_)</c:formatCode>
                <c:ptCount val="9"/>
                <c:pt idx="0">
                  <c:v>146</c:v>
                </c:pt>
                <c:pt idx="1">
                  <c:v>1840</c:v>
                </c:pt>
                <c:pt idx="2">
                  <c:v>9001</c:v>
                </c:pt>
                <c:pt idx="3">
                  <c:v>19032</c:v>
                </c:pt>
                <c:pt idx="4">
                  <c:v>22527</c:v>
                </c:pt>
                <c:pt idx="5">
                  <c:v>17047</c:v>
                </c:pt>
                <c:pt idx="6">
                  <c:v>9296</c:v>
                </c:pt>
                <c:pt idx="7">
                  <c:v>3952</c:v>
                </c:pt>
                <c:pt idx="8">
                  <c:v>901</c:v>
                </c:pt>
              </c:numCache>
            </c:numRef>
          </c:val>
          <c:smooth val="0"/>
          <c:extLst>
            <c:ext xmlns:c16="http://schemas.microsoft.com/office/drawing/2014/chart" uri="{C3380CC4-5D6E-409C-BE32-E72D297353CC}">
              <c16:uniqueId val="{00000000-7732-47E7-A23C-9B44BBACD5BA}"/>
            </c:ext>
          </c:extLst>
        </c:ser>
        <c:ser>
          <c:idx val="1"/>
          <c:order val="1"/>
          <c:tx>
            <c:v>Simulated</c:v>
          </c:tx>
          <c:spPr>
            <a:ln w="28575" cap="rnd">
              <a:solidFill>
                <a:schemeClr val="accent2"/>
              </a:solidFill>
              <a:round/>
            </a:ln>
            <a:effectLst/>
          </c:spPr>
          <c:marker>
            <c:symbol val="none"/>
          </c:marker>
          <c:val>
            <c:numRef>
              <c:f>Model!$F$7:$F$16</c:f>
              <c:numCache>
                <c:formatCode>_(* #,##0_);_(* \(#,##0\);_(* "-"??_);_(@_)</c:formatCode>
                <c:ptCount val="10"/>
                <c:pt idx="0">
                  <c:v>59.837651236031434</c:v>
                </c:pt>
                <c:pt idx="1">
                  <c:v>1991.4815370958488</c:v>
                </c:pt>
                <c:pt idx="2">
                  <c:v>9429.3343146119387</c:v>
                </c:pt>
                <c:pt idx="3">
                  <c:v>18898.931450000102</c:v>
                </c:pt>
                <c:pt idx="4">
                  <c:v>22261.328822911262</c:v>
                </c:pt>
                <c:pt idx="5">
                  <c:v>17559.132718747791</c:v>
                </c:pt>
                <c:pt idx="6">
                  <c:v>9752.0998876276444</c:v>
                </c:pt>
                <c:pt idx="7">
                  <c:v>3829.6096791060168</c:v>
                </c:pt>
                <c:pt idx="8">
                  <c:v>1027.6950105165604</c:v>
                </c:pt>
                <c:pt idx="9">
                  <c:v>173.91663142899486</c:v>
                </c:pt>
              </c:numCache>
            </c:numRef>
          </c:val>
          <c:smooth val="0"/>
          <c:extLst>
            <c:ext xmlns:c16="http://schemas.microsoft.com/office/drawing/2014/chart" uri="{C3380CC4-5D6E-409C-BE32-E72D297353CC}">
              <c16:uniqueId val="{00000001-7732-47E7-A23C-9B44BBACD5BA}"/>
            </c:ext>
          </c:extLst>
        </c:ser>
        <c:dLbls>
          <c:showLegendKey val="0"/>
          <c:showVal val="0"/>
          <c:showCatName val="0"/>
          <c:showSerName val="0"/>
          <c:showPercent val="0"/>
          <c:showBubbleSize val="0"/>
        </c:dLbls>
        <c:smooth val="0"/>
        <c:axId val="633894736"/>
        <c:axId val="633895064"/>
      </c:lineChart>
      <c:catAx>
        <c:axId val="6338947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3895064"/>
        <c:crosses val="autoZero"/>
        <c:auto val="1"/>
        <c:lblAlgn val="ctr"/>
        <c:lblOffset val="100"/>
        <c:noMultiLvlLbl val="0"/>
      </c:catAx>
      <c:valAx>
        <c:axId val="633895064"/>
        <c:scaling>
          <c:orientation val="minMax"/>
        </c:scaling>
        <c:delete val="0"/>
        <c:axPos val="l"/>
        <c:majorGridlines>
          <c:spPr>
            <a:ln w="9525" cap="flat" cmpd="sng" algn="ctr">
              <a:solidFill>
                <a:schemeClr val="tx1">
                  <a:lumMod val="15000"/>
                  <a:lumOff val="85000"/>
                </a:schemeClr>
              </a:solidFill>
              <a:round/>
            </a:ln>
            <a:effectLst/>
          </c:spPr>
        </c:majorGridlines>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389473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spPr>
            <a:ln w="28575" cap="rnd">
              <a:solidFill>
                <a:schemeClr val="accent1"/>
              </a:solidFill>
              <a:round/>
            </a:ln>
            <a:effectLst/>
          </c:spPr>
          <c:marker>
            <c:symbol val="circle"/>
            <c:size val="5"/>
            <c:spPr>
              <a:solidFill>
                <a:schemeClr val="accent1"/>
              </a:solidFill>
              <a:ln w="9525">
                <a:solidFill>
                  <a:schemeClr val="accent1"/>
                </a:solidFill>
              </a:ln>
              <a:effectLst/>
            </c:spPr>
          </c:marker>
          <c:cat>
            <c:numRef>
              <c:f>Data!$D$2:$D$15</c:f>
              <c:numCache>
                <c:formatCode>#,##0;\ \(#,##0\)</c:formatCode>
                <c:ptCount val="14"/>
                <c:pt idx="0">
                  <c:v>1500</c:v>
                </c:pt>
                <c:pt idx="1">
                  <c:v>2000</c:v>
                </c:pt>
                <c:pt idx="2">
                  <c:v>2500</c:v>
                </c:pt>
                <c:pt idx="3">
                  <c:v>3000</c:v>
                </c:pt>
                <c:pt idx="4">
                  <c:v>3500</c:v>
                </c:pt>
                <c:pt idx="5">
                  <c:v>4000</c:v>
                </c:pt>
                <c:pt idx="6">
                  <c:v>4500</c:v>
                </c:pt>
                <c:pt idx="7">
                  <c:v>5000</c:v>
                </c:pt>
                <c:pt idx="8">
                  <c:v>5500</c:v>
                </c:pt>
                <c:pt idx="9">
                  <c:v>5700</c:v>
                </c:pt>
                <c:pt idx="10">
                  <c:v>6000</c:v>
                </c:pt>
                <c:pt idx="11">
                  <c:v>6500</c:v>
                </c:pt>
                <c:pt idx="12">
                  <c:v>7000</c:v>
                </c:pt>
                <c:pt idx="13">
                  <c:v>7500</c:v>
                </c:pt>
              </c:numCache>
            </c:numRef>
          </c:cat>
          <c:val>
            <c:numRef>
              <c:f>Data!$B$2:$B$15</c:f>
              <c:numCache>
                <c:formatCode>0.0000</c:formatCode>
                <c:ptCount val="14"/>
                <c:pt idx="0">
                  <c:v>0.20332948624536681</c:v>
                </c:pt>
                <c:pt idx="1">
                  <c:v>0.14908016856773287</c:v>
                </c:pt>
                <c:pt idx="2">
                  <c:v>0.10783774343224392</c:v>
                </c:pt>
                <c:pt idx="3">
                  <c:v>7.7104723118323684E-2</c:v>
                </c:pt>
                <c:pt idx="4">
                  <c:v>5.4502923754240908E-2</c:v>
                </c:pt>
                <c:pt idx="5">
                  <c:v>3.8293043918675003E-2</c:v>
                </c:pt>
                <c:pt idx="6">
                  <c:v>2.6449344997459809E-2</c:v>
                </c:pt>
                <c:pt idx="7">
                  <c:v>1.7978834925793139E-2</c:v>
                </c:pt>
                <c:pt idx="8">
                  <c:v>1.1998946096545398E-2</c:v>
                </c:pt>
                <c:pt idx="9">
                  <c:v>1.0040504927914156E-2</c:v>
                </c:pt>
                <c:pt idx="10">
                  <c:v>7.7026734300734631E-3</c:v>
                </c:pt>
                <c:pt idx="11">
                  <c:v>4.8733961509320007E-3</c:v>
                </c:pt>
                <c:pt idx="12">
                  <c:v>2.8895615327019881E-3</c:v>
                </c:pt>
                <c:pt idx="13">
                  <c:v>1.5605423726710505E-3</c:v>
                </c:pt>
              </c:numCache>
            </c:numRef>
          </c:val>
          <c:smooth val="0"/>
          <c:extLst>
            <c:ext xmlns:c16="http://schemas.microsoft.com/office/drawing/2014/chart" uri="{C3380CC4-5D6E-409C-BE32-E72D297353CC}">
              <c16:uniqueId val="{00000000-7E2C-4F1A-B0F6-D5917A4E913B}"/>
            </c:ext>
          </c:extLst>
        </c:ser>
        <c:dLbls>
          <c:showLegendKey val="0"/>
          <c:showVal val="0"/>
          <c:showCatName val="0"/>
          <c:showSerName val="0"/>
          <c:showPercent val="0"/>
          <c:showBubbleSize val="0"/>
        </c:dLbls>
        <c:marker val="1"/>
        <c:smooth val="0"/>
        <c:axId val="561385000"/>
        <c:axId val="516749320"/>
      </c:lineChart>
      <c:catAx>
        <c:axId val="561385000"/>
        <c:scaling>
          <c:orientation val="minMax"/>
        </c:scaling>
        <c:delete val="0"/>
        <c:axPos val="b"/>
        <c:numFmt formatCode="#,##0;\ \(#,##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6749320"/>
        <c:crosses val="autoZero"/>
        <c:auto val="1"/>
        <c:lblAlgn val="ctr"/>
        <c:lblOffset val="100"/>
        <c:noMultiLvlLbl val="0"/>
      </c:catAx>
      <c:valAx>
        <c:axId val="516749320"/>
        <c:scaling>
          <c:orientation val="minMax"/>
        </c:scaling>
        <c:delete val="0"/>
        <c:axPos val="l"/>
        <c:majorGridlines>
          <c:spPr>
            <a:ln w="9525" cap="flat" cmpd="sng" algn="ctr">
              <a:solidFill>
                <a:schemeClr val="tx1">
                  <a:lumMod val="15000"/>
                  <a:lumOff val="85000"/>
                </a:schemeClr>
              </a:solidFill>
              <a:round/>
            </a:ln>
            <a:effectLst/>
          </c:spPr>
        </c:majorGridlines>
        <c:numFmt formatCode="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13850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1</xdr:col>
      <xdr:colOff>295275</xdr:colOff>
      <xdr:row>20</xdr:row>
      <xdr:rowOff>69850</xdr:rowOff>
    </xdr:from>
    <xdr:to>
      <xdr:col>10</xdr:col>
      <xdr:colOff>381000</xdr:colOff>
      <xdr:row>34</xdr:row>
      <xdr:rowOff>149225</xdr:rowOff>
    </xdr:to>
    <xdr:graphicFrame macro="">
      <xdr:nvGraphicFramePr>
        <xdr:cNvPr id="2" name="Chart 1">
          <a:extLst>
            <a:ext uri="{FF2B5EF4-FFF2-40B4-BE49-F238E27FC236}">
              <a16:creationId xmlns:a16="http://schemas.microsoft.com/office/drawing/2014/main" id="{3C6BC76D-8096-406C-9BFD-AAC6671480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5</xdr:col>
      <xdr:colOff>285750</xdr:colOff>
      <xdr:row>10</xdr:row>
      <xdr:rowOff>147637</xdr:rowOff>
    </xdr:from>
    <xdr:to>
      <xdr:col>12</xdr:col>
      <xdr:colOff>257175</xdr:colOff>
      <xdr:row>25</xdr:row>
      <xdr:rowOff>33337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P34"/>
  <sheetViews>
    <sheetView workbookViewId="0"/>
  </sheetViews>
  <sheetFormatPr defaultRowHeight="15" x14ac:dyDescent="0.25"/>
  <cols>
    <col min="1" max="3" width="36.7109375" customWidth="1"/>
  </cols>
  <sheetData>
    <row r="1" spans="1:16" x14ac:dyDescent="0.25">
      <c r="A1" s="1" t="s">
        <v>0</v>
      </c>
    </row>
    <row r="2" spans="1:16" x14ac:dyDescent="0.25">
      <c r="P2">
        <f ca="1">_xll.CB.RecalcCounterFN()</f>
        <v>101</v>
      </c>
    </row>
    <row r="3" spans="1:16" x14ac:dyDescent="0.25">
      <c r="A3" t="s">
        <v>1</v>
      </c>
      <c r="B3" t="s">
        <v>2</v>
      </c>
      <c r="C3">
        <v>0</v>
      </c>
    </row>
    <row r="4" spans="1:16" x14ac:dyDescent="0.25">
      <c r="A4" t="s">
        <v>3</v>
      </c>
    </row>
    <row r="5" spans="1:16" x14ac:dyDescent="0.25">
      <c r="A5" t="s">
        <v>4</v>
      </c>
    </row>
    <row r="7" spans="1:16" x14ac:dyDescent="0.25">
      <c r="A7" s="1" t="s">
        <v>5</v>
      </c>
      <c r="B7" t="s">
        <v>6</v>
      </c>
    </row>
    <row r="8" spans="1:16" x14ac:dyDescent="0.25">
      <c r="B8">
        <v>3</v>
      </c>
    </row>
    <row r="10" spans="1:16" x14ac:dyDescent="0.25">
      <c r="A10" t="s">
        <v>7</v>
      </c>
    </row>
    <row r="11" spans="1:16" x14ac:dyDescent="0.25">
      <c r="A11" t="e">
        <f>CB_DATA_!#REF!</f>
        <v>#REF!</v>
      </c>
      <c r="B11" t="e">
        <f>#REF!</f>
        <v>#REF!</v>
      </c>
      <c r="C11" t="e">
        <f>Model!#REF!</f>
        <v>#REF!</v>
      </c>
    </row>
    <row r="13" spans="1:16" x14ac:dyDescent="0.25">
      <c r="A13" t="s">
        <v>8</v>
      </c>
    </row>
    <row r="14" spans="1:16" x14ac:dyDescent="0.25">
      <c r="A14" t="s">
        <v>12</v>
      </c>
      <c r="B14" t="s">
        <v>16</v>
      </c>
      <c r="C14" t="s">
        <v>51</v>
      </c>
    </row>
    <row r="16" spans="1:16" x14ac:dyDescent="0.25">
      <c r="A16" t="s">
        <v>9</v>
      </c>
    </row>
    <row r="19" spans="1:3" x14ac:dyDescent="0.25">
      <c r="A19" t="s">
        <v>10</v>
      </c>
    </row>
    <row r="20" spans="1:3" x14ac:dyDescent="0.25">
      <c r="A20">
        <v>28</v>
      </c>
      <c r="B20">
        <v>26</v>
      </c>
      <c r="C20">
        <v>34</v>
      </c>
    </row>
    <row r="25" spans="1:3" x14ac:dyDescent="0.25">
      <c r="A25" s="1" t="s">
        <v>11</v>
      </c>
    </row>
    <row r="26" spans="1:3" x14ac:dyDescent="0.25">
      <c r="A26" s="2" t="s">
        <v>13</v>
      </c>
      <c r="C26" s="2" t="s">
        <v>71</v>
      </c>
    </row>
    <row r="27" spans="1:3" x14ac:dyDescent="0.25">
      <c r="A27" t="s">
        <v>14</v>
      </c>
      <c r="C27" t="s">
        <v>75</v>
      </c>
    </row>
    <row r="28" spans="1:3" x14ac:dyDescent="0.25">
      <c r="A28" s="2" t="s">
        <v>15</v>
      </c>
      <c r="C28" s="2" t="s">
        <v>15</v>
      </c>
    </row>
    <row r="29" spans="1:3" x14ac:dyDescent="0.25">
      <c r="C29" s="2" t="s">
        <v>13</v>
      </c>
    </row>
    <row r="30" spans="1:3" x14ac:dyDescent="0.25">
      <c r="C30" t="s">
        <v>52</v>
      </c>
    </row>
    <row r="31" spans="1:3" x14ac:dyDescent="0.25">
      <c r="C31" s="2" t="s">
        <v>15</v>
      </c>
    </row>
    <row r="32" spans="1:3" x14ac:dyDescent="0.25">
      <c r="C32" s="2" t="s">
        <v>72</v>
      </c>
    </row>
    <row r="33" spans="3:3" x14ac:dyDescent="0.25">
      <c r="C33" t="s">
        <v>73</v>
      </c>
    </row>
    <row r="34" spans="3:3" x14ac:dyDescent="0.25">
      <c r="C34" s="2" t="s">
        <v>54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7"/>
  <sheetViews>
    <sheetView workbookViewId="0">
      <selection activeCell="C9" sqref="C9"/>
    </sheetView>
  </sheetViews>
  <sheetFormatPr defaultRowHeight="15" x14ac:dyDescent="0.25"/>
  <cols>
    <col min="1" max="1" width="16.5703125" bestFit="1" customWidth="1"/>
    <col min="2" max="2" width="18.5703125" bestFit="1" customWidth="1"/>
    <col min="3" max="3" width="16.7109375" bestFit="1" customWidth="1"/>
  </cols>
  <sheetData>
    <row r="1" spans="1:4" x14ac:dyDescent="0.25">
      <c r="A1" t="s">
        <v>26</v>
      </c>
      <c r="B1" t="s">
        <v>27</v>
      </c>
      <c r="C1" t="s">
        <v>28</v>
      </c>
    </row>
    <row r="2" spans="1:4" x14ac:dyDescent="0.25">
      <c r="A2" t="s">
        <v>29</v>
      </c>
      <c r="B2">
        <v>39239</v>
      </c>
      <c r="C2">
        <v>2667.45</v>
      </c>
      <c r="D2">
        <f>B2/$B$7</f>
        <v>0.22850171497120361</v>
      </c>
    </row>
    <row r="3" spans="1:4" x14ac:dyDescent="0.25">
      <c r="A3" t="s">
        <v>30</v>
      </c>
      <c r="B3">
        <v>45637</v>
      </c>
      <c r="C3">
        <v>1682.89</v>
      </c>
      <c r="D3">
        <f t="shared" ref="D3:D6" si="0">B3/$B$7</f>
        <v>0.26575939157829759</v>
      </c>
    </row>
    <row r="4" spans="1:4" x14ac:dyDescent="0.25">
      <c r="A4" t="s">
        <v>31</v>
      </c>
      <c r="B4">
        <v>21287</v>
      </c>
      <c r="C4">
        <v>1132.8900000000001</v>
      </c>
      <c r="D4">
        <f t="shared" si="0"/>
        <v>0.12396126319712561</v>
      </c>
    </row>
    <row r="5" spans="1:4" x14ac:dyDescent="0.25">
      <c r="A5" t="s">
        <v>32</v>
      </c>
      <c r="B5">
        <v>53243</v>
      </c>
      <c r="C5">
        <v>2130.52</v>
      </c>
      <c r="D5">
        <f t="shared" si="0"/>
        <v>0.31005165295272036</v>
      </c>
    </row>
    <row r="6" spans="1:4" x14ac:dyDescent="0.25">
      <c r="A6" t="s">
        <v>33</v>
      </c>
      <c r="B6">
        <v>12235</v>
      </c>
      <c r="C6">
        <v>2433.5500000000002</v>
      </c>
      <c r="D6">
        <f t="shared" si="0"/>
        <v>7.1248464096248021E-2</v>
      </c>
    </row>
    <row r="7" spans="1:4" x14ac:dyDescent="0.25">
      <c r="A7" t="s">
        <v>34</v>
      </c>
      <c r="B7">
        <v>171723</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B1:AI452"/>
  <sheetViews>
    <sheetView tabSelected="1" topLeftCell="N1" zoomScale="80" zoomScaleNormal="80" workbookViewId="0">
      <selection activeCell="S10" sqref="S10"/>
    </sheetView>
  </sheetViews>
  <sheetFormatPr defaultRowHeight="15" x14ac:dyDescent="0.25"/>
  <cols>
    <col min="3" max="3" width="12.42578125" bestFit="1" customWidth="1"/>
    <col min="4" max="4" width="11.140625" bestFit="1" customWidth="1"/>
    <col min="5" max="6" width="14.140625" bestFit="1" customWidth="1"/>
    <col min="7" max="9" width="14.140625" customWidth="1"/>
    <col min="10" max="10" width="15.28515625" bestFit="1" customWidth="1"/>
    <col min="11" max="11" width="11" bestFit="1" customWidth="1"/>
    <col min="12" max="12" width="12" bestFit="1" customWidth="1"/>
    <col min="13" max="15" width="11" customWidth="1"/>
    <col min="16" max="16" width="8.7109375" style="3"/>
    <col min="17" max="17" width="9.28515625" bestFit="1" customWidth="1"/>
    <col min="18" max="21" width="9.28515625" customWidth="1"/>
    <col min="22" max="22" width="8.140625" bestFit="1" customWidth="1"/>
    <col min="23" max="23" width="10.140625" bestFit="1" customWidth="1"/>
    <col min="24" max="25" width="10.140625" customWidth="1"/>
    <col min="26" max="26" width="7.85546875" bestFit="1" customWidth="1"/>
    <col min="27" max="28" width="7.85546875" customWidth="1"/>
    <col min="29" max="29" width="11.5703125" bestFit="1" customWidth="1"/>
    <col min="30" max="31" width="12.28515625" bestFit="1" customWidth="1"/>
    <col min="32" max="33" width="9.85546875" bestFit="1" customWidth="1"/>
  </cols>
  <sheetData>
    <row r="1" spans="2:35" x14ac:dyDescent="0.25">
      <c r="F1" t="s">
        <v>48</v>
      </c>
      <c r="G1" t="s">
        <v>49</v>
      </c>
      <c r="H1" t="s">
        <v>50</v>
      </c>
      <c r="J1" t="s">
        <v>22</v>
      </c>
      <c r="K1" s="14">
        <v>0.2</v>
      </c>
      <c r="L1" s="15">
        <v>5</v>
      </c>
      <c r="Q1" s="3"/>
    </row>
    <row r="2" spans="2:35" x14ac:dyDescent="0.25">
      <c r="D2" t="s">
        <v>39</v>
      </c>
      <c r="E2" s="19">
        <v>7.5</v>
      </c>
      <c r="F2">
        <v>8</v>
      </c>
      <c r="G2">
        <v>7.5</v>
      </c>
      <c r="H2">
        <v>5.5</v>
      </c>
      <c r="I2" s="16"/>
      <c r="J2" t="s">
        <v>17</v>
      </c>
      <c r="K2" s="33">
        <v>5700</v>
      </c>
      <c r="L2" s="30">
        <f>MAX(G6:G16)</f>
        <v>4452</v>
      </c>
      <c r="P2"/>
      <c r="Q2" s="21"/>
    </row>
    <row r="3" spans="2:35" x14ac:dyDescent="0.25">
      <c r="D3" t="s">
        <v>40</v>
      </c>
      <c r="E3" s="19">
        <v>14.5</v>
      </c>
      <c r="F3">
        <v>21</v>
      </c>
      <c r="G3">
        <v>14.5</v>
      </c>
      <c r="H3">
        <v>7</v>
      </c>
      <c r="I3" s="16"/>
      <c r="P3"/>
      <c r="Q3" s="3"/>
    </row>
    <row r="4" spans="2:35" x14ac:dyDescent="0.25">
      <c r="D4" t="s">
        <v>38</v>
      </c>
      <c r="E4" s="20">
        <v>85000</v>
      </c>
      <c r="F4" s="5">
        <v>35000</v>
      </c>
      <c r="G4" s="5">
        <v>85000</v>
      </c>
      <c r="H4" s="5">
        <v>200000</v>
      </c>
      <c r="I4" s="16"/>
      <c r="J4" t="s">
        <v>29</v>
      </c>
      <c r="K4" t="s">
        <v>30</v>
      </c>
      <c r="L4" t="s">
        <v>31</v>
      </c>
      <c r="M4" t="s">
        <v>32</v>
      </c>
      <c r="N4" t="s">
        <v>33</v>
      </c>
      <c r="P4"/>
      <c r="Q4" s="3"/>
    </row>
    <row r="5" spans="2:35" x14ac:dyDescent="0.25">
      <c r="B5" t="s">
        <v>18</v>
      </c>
      <c r="C5" t="s">
        <v>19</v>
      </c>
      <c r="D5" t="s">
        <v>41</v>
      </c>
      <c r="E5" t="s">
        <v>42</v>
      </c>
      <c r="F5" t="s">
        <v>35</v>
      </c>
      <c r="G5" t="s">
        <v>36</v>
      </c>
      <c r="J5" s="14">
        <v>0.22850171497120361</v>
      </c>
      <c r="K5" s="14">
        <v>0.26575939157829759</v>
      </c>
      <c r="L5" s="14">
        <v>0.12396126319712561</v>
      </c>
      <c r="M5" s="14">
        <v>0.31005165295272036</v>
      </c>
      <c r="N5" s="14">
        <v>7.0000000000000007E-2</v>
      </c>
      <c r="O5" s="14"/>
      <c r="P5" s="3" t="s">
        <v>18</v>
      </c>
      <c r="Q5" t="s">
        <v>29</v>
      </c>
      <c r="T5" t="s">
        <v>30</v>
      </c>
      <c r="W5" t="s">
        <v>31</v>
      </c>
      <c r="Z5" t="s">
        <v>32</v>
      </c>
      <c r="AC5" t="s">
        <v>33</v>
      </c>
      <c r="AG5" s="3" t="s">
        <v>20</v>
      </c>
    </row>
    <row r="6" spans="2:35" ht="15.75" thickBot="1" x14ac:dyDescent="0.3">
      <c r="B6">
        <v>0</v>
      </c>
      <c r="C6" s="7">
        <v>0</v>
      </c>
      <c r="D6" s="7">
        <f>C6</f>
        <v>0</v>
      </c>
      <c r="E6" s="7">
        <v>0</v>
      </c>
      <c r="F6" s="7">
        <v>0</v>
      </c>
      <c r="G6" s="7">
        <f t="shared" ref="G6:G16" si="0">ROUND(F6*$K$1,0)</f>
        <v>0</v>
      </c>
      <c r="J6" s="7">
        <f t="shared" ref="J6:J16" si="1">ROUND(G6*$J$5,0)</f>
        <v>0</v>
      </c>
      <c r="K6" s="7">
        <f t="shared" ref="K6:K16" si="2">ROUND(G6*$K$5,0)</f>
        <v>0</v>
      </c>
      <c r="L6" s="7">
        <f t="shared" ref="L6:L16" si="3">ROUND(G6*$L$5,0)</f>
        <v>0</v>
      </c>
      <c r="M6" s="7">
        <f t="shared" ref="M6:M16" si="4">ROUND(G6*$M$5,0)</f>
        <v>0</v>
      </c>
      <c r="N6" s="7">
        <f t="shared" ref="N6:N16" si="5">ROUND(G6*$N$5,0)</f>
        <v>0</v>
      </c>
      <c r="O6" s="7"/>
      <c r="P6" s="3">
        <v>0</v>
      </c>
      <c r="Q6" s="3">
        <v>0</v>
      </c>
      <c r="R6" s="3"/>
      <c r="S6" s="9"/>
      <c r="T6" s="3">
        <v>0</v>
      </c>
      <c r="U6" s="3"/>
      <c r="V6" s="9"/>
      <c r="W6" s="3">
        <v>0</v>
      </c>
      <c r="X6" s="3"/>
      <c r="Y6" s="3"/>
      <c r="Z6" s="3"/>
      <c r="AA6" s="3"/>
      <c r="AB6" s="3"/>
      <c r="AC6" s="3">
        <v>0</v>
      </c>
      <c r="AD6" s="3"/>
      <c r="AE6" s="9"/>
      <c r="AG6" s="3">
        <f>SUM(Q6,T6,W6,Z6,AC6)</f>
        <v>0</v>
      </c>
      <c r="AH6" s="3" t="s">
        <v>21</v>
      </c>
      <c r="AI6" s="3">
        <f t="shared" ref="AI6:AI16" si="6">$K$2</f>
        <v>5700</v>
      </c>
    </row>
    <row r="7" spans="2:35" ht="15.75" thickTop="1" x14ac:dyDescent="0.25">
      <c r="B7">
        <v>1</v>
      </c>
      <c r="C7">
        <f>_xlfn.BETA.DIST(B7,$E$2,$E$3,FALSE,0,15)</f>
        <v>7.0397236748272272E-4</v>
      </c>
      <c r="D7" s="7">
        <v>146</v>
      </c>
      <c r="E7" s="7">
        <f t="shared" ref="E7:E16" si="7">D7+D6</f>
        <v>146</v>
      </c>
      <c r="F7" s="7">
        <f t="shared" ref="F7:F16" si="8">C7*$E$4</f>
        <v>59.837651236031434</v>
      </c>
      <c r="G7" s="7">
        <f t="shared" si="0"/>
        <v>12</v>
      </c>
      <c r="H7" s="7"/>
      <c r="J7" s="7">
        <f t="shared" si="1"/>
        <v>3</v>
      </c>
      <c r="K7" s="7">
        <f t="shared" si="2"/>
        <v>3</v>
      </c>
      <c r="L7" s="7">
        <f t="shared" si="3"/>
        <v>1</v>
      </c>
      <c r="M7" s="7">
        <f t="shared" si="4"/>
        <v>4</v>
      </c>
      <c r="N7" s="7">
        <f t="shared" si="5"/>
        <v>1</v>
      </c>
      <c r="O7" s="7"/>
      <c r="P7" s="3">
        <v>1</v>
      </c>
      <c r="Q7" s="10">
        <v>10.999999999999996</v>
      </c>
      <c r="R7" s="3" t="s">
        <v>46</v>
      </c>
      <c r="S7" s="9">
        <f>IF(J7&gt;J6,Q6,0)</f>
        <v>0</v>
      </c>
      <c r="T7" s="10">
        <v>11.999999999999995</v>
      </c>
      <c r="U7" s="3" t="s">
        <v>46</v>
      </c>
      <c r="V7" s="9">
        <f>IF(K7&gt;K6,T6,0)</f>
        <v>0</v>
      </c>
      <c r="W7" s="10">
        <v>6.0000000000000018</v>
      </c>
      <c r="X7" s="3" t="s">
        <v>46</v>
      </c>
      <c r="Y7" s="9">
        <f>IF(L7&gt;L6,W6,0)</f>
        <v>0</v>
      </c>
      <c r="Z7" s="10">
        <v>14.000000000000007</v>
      </c>
      <c r="AA7" s="3" t="s">
        <v>46</v>
      </c>
      <c r="AB7" s="9">
        <f>IF(M7&gt;M6,Z6,0)</f>
        <v>0</v>
      </c>
      <c r="AC7" s="10">
        <v>2.9999999999999996</v>
      </c>
      <c r="AD7" s="3" t="s">
        <v>46</v>
      </c>
      <c r="AE7" s="9">
        <f>IF(N7&gt;N6,AC6,0)</f>
        <v>0</v>
      </c>
      <c r="AG7" s="3">
        <f t="shared" ref="AG7:AG16" si="9">SUM(Q7,T7,W7,Z7,AC7)</f>
        <v>46</v>
      </c>
      <c r="AH7" s="3" t="s">
        <v>21</v>
      </c>
      <c r="AI7" s="3">
        <f t="shared" si="6"/>
        <v>5700</v>
      </c>
    </row>
    <row r="8" spans="2:35" x14ac:dyDescent="0.25">
      <c r="B8">
        <v>2</v>
      </c>
      <c r="C8">
        <f t="shared" ref="C8:C16" si="10">_xlfn.BETA.DIST(B8,$E$2,$E$3,FALSE,0,15)</f>
        <v>2.3429194554068809E-2</v>
      </c>
      <c r="D8" s="7">
        <v>1694</v>
      </c>
      <c r="E8" s="7">
        <f t="shared" si="7"/>
        <v>1840</v>
      </c>
      <c r="F8" s="7">
        <f t="shared" si="8"/>
        <v>1991.4815370958488</v>
      </c>
      <c r="G8" s="7">
        <f t="shared" si="0"/>
        <v>398</v>
      </c>
      <c r="H8" s="7"/>
      <c r="J8" s="7">
        <f t="shared" si="1"/>
        <v>91</v>
      </c>
      <c r="K8" s="7">
        <f t="shared" si="2"/>
        <v>106</v>
      </c>
      <c r="L8" s="7">
        <f t="shared" si="3"/>
        <v>49</v>
      </c>
      <c r="M8" s="7">
        <f t="shared" si="4"/>
        <v>123</v>
      </c>
      <c r="N8" s="7">
        <f t="shared" si="5"/>
        <v>28</v>
      </c>
      <c r="O8" s="7"/>
      <c r="P8" s="3">
        <v>2</v>
      </c>
      <c r="Q8" s="11">
        <v>198.99999999999915</v>
      </c>
      <c r="R8" s="3" t="s">
        <v>46</v>
      </c>
      <c r="S8" s="9">
        <f t="shared" ref="S8:S16" si="11">IF(J8&gt;J7,Q7,0)</f>
        <v>10.999999999999996</v>
      </c>
      <c r="T8" s="11">
        <v>232.00000000000102</v>
      </c>
      <c r="U8" s="3" t="s">
        <v>46</v>
      </c>
      <c r="V8" s="9">
        <f t="shared" ref="V8:V16" si="12">IF(K8&gt;K7,T7,0)</f>
        <v>11.999999999999995</v>
      </c>
      <c r="W8" s="11">
        <v>107.99999999999952</v>
      </c>
      <c r="X8" s="3" t="s">
        <v>46</v>
      </c>
      <c r="Y8" s="9">
        <f t="shared" ref="Y8:Y16" si="13">IF(L8&gt;L7,W7,0)</f>
        <v>6.0000000000000018</v>
      </c>
      <c r="Z8" s="11">
        <v>271.00000000000369</v>
      </c>
      <c r="AA8" s="3" t="s">
        <v>46</v>
      </c>
      <c r="AB8" s="9">
        <f t="shared" ref="AB8:AB16" si="14">IF(M8&gt;M7,Z7,0)</f>
        <v>14.000000000000007</v>
      </c>
      <c r="AC8" s="11">
        <v>60.999999999999929</v>
      </c>
      <c r="AD8" s="3" t="s">
        <v>46</v>
      </c>
      <c r="AE8" s="9">
        <f t="shared" ref="AE8:AE16" si="15">IF(N8&gt;N7,AC7,0)</f>
        <v>2.9999999999999996</v>
      </c>
      <c r="AG8" s="3">
        <f t="shared" si="9"/>
        <v>871.0000000000033</v>
      </c>
      <c r="AH8" s="3" t="s">
        <v>21</v>
      </c>
      <c r="AI8" s="3">
        <f t="shared" si="6"/>
        <v>5700</v>
      </c>
    </row>
    <row r="9" spans="2:35" x14ac:dyDescent="0.25">
      <c r="B9">
        <v>3</v>
      </c>
      <c r="C9">
        <f t="shared" si="10"/>
        <v>0.11093334487778751</v>
      </c>
      <c r="D9" s="7">
        <v>7307</v>
      </c>
      <c r="E9" s="7">
        <f t="shared" si="7"/>
        <v>9001</v>
      </c>
      <c r="F9" s="7">
        <f t="shared" si="8"/>
        <v>9429.3343146119387</v>
      </c>
      <c r="G9" s="7">
        <f>ROUND(F9*$K$1,0)</f>
        <v>1886</v>
      </c>
      <c r="H9" s="7"/>
      <c r="J9" s="7">
        <f t="shared" si="1"/>
        <v>431</v>
      </c>
      <c r="K9" s="7">
        <f t="shared" si="2"/>
        <v>501</v>
      </c>
      <c r="L9" s="7">
        <f t="shared" si="3"/>
        <v>234</v>
      </c>
      <c r="M9" s="7">
        <f t="shared" si="4"/>
        <v>585</v>
      </c>
      <c r="N9" s="7">
        <f t="shared" si="5"/>
        <v>132</v>
      </c>
      <c r="O9" s="7"/>
      <c r="P9" s="3">
        <v>3</v>
      </c>
      <c r="Q9" s="11">
        <v>682.00000000000068</v>
      </c>
      <c r="R9" s="3" t="s">
        <v>46</v>
      </c>
      <c r="S9" s="9">
        <f t="shared" si="11"/>
        <v>198.99999999999915</v>
      </c>
      <c r="T9" s="11">
        <v>793.9999999999751</v>
      </c>
      <c r="U9" s="3" t="s">
        <v>46</v>
      </c>
      <c r="V9" s="9">
        <f t="shared" si="12"/>
        <v>232.00000000000102</v>
      </c>
      <c r="W9" s="11">
        <v>370.00000000000375</v>
      </c>
      <c r="X9" s="3" t="s">
        <v>46</v>
      </c>
      <c r="Y9" s="9">
        <f t="shared" si="13"/>
        <v>107.99999999999952</v>
      </c>
      <c r="Z9" s="11">
        <v>926.00000000004206</v>
      </c>
      <c r="AA9" s="3" t="s">
        <v>46</v>
      </c>
      <c r="AB9" s="9">
        <f t="shared" si="14"/>
        <v>271.00000000000369</v>
      </c>
      <c r="AC9" s="11">
        <v>208.99999999999892</v>
      </c>
      <c r="AD9" s="3" t="s">
        <v>46</v>
      </c>
      <c r="AE9" s="9">
        <f t="shared" si="15"/>
        <v>60.999999999999929</v>
      </c>
      <c r="AG9" s="3">
        <f>SUM(Q9,T9,W9,Z9,AC9)</f>
        <v>2981.0000000000209</v>
      </c>
      <c r="AH9" s="3" t="s">
        <v>21</v>
      </c>
      <c r="AI9" s="3">
        <f t="shared" si="6"/>
        <v>5700</v>
      </c>
    </row>
    <row r="10" spans="2:35" x14ac:dyDescent="0.25">
      <c r="B10">
        <v>4</v>
      </c>
      <c r="C10">
        <f t="shared" si="10"/>
        <v>0.2223403700000012</v>
      </c>
      <c r="D10" s="7">
        <v>11725</v>
      </c>
      <c r="E10" s="7">
        <f t="shared" si="7"/>
        <v>19032</v>
      </c>
      <c r="F10" s="7">
        <f t="shared" si="8"/>
        <v>18898.931450000102</v>
      </c>
      <c r="G10" s="7">
        <f t="shared" si="0"/>
        <v>3780</v>
      </c>
      <c r="H10" s="7"/>
      <c r="J10" s="7">
        <f t="shared" si="1"/>
        <v>864</v>
      </c>
      <c r="K10" s="7">
        <f t="shared" si="2"/>
        <v>1005</v>
      </c>
      <c r="L10" s="7">
        <f t="shared" si="3"/>
        <v>469</v>
      </c>
      <c r="M10" s="7">
        <f t="shared" si="4"/>
        <v>1172</v>
      </c>
      <c r="N10" s="7">
        <f t="shared" si="5"/>
        <v>265</v>
      </c>
      <c r="O10" s="7"/>
      <c r="P10" s="3">
        <v>4</v>
      </c>
      <c r="Q10" s="11">
        <v>1085.9999999999372</v>
      </c>
      <c r="R10" s="3" t="s">
        <v>46</v>
      </c>
      <c r="S10" s="9">
        <f t="shared" si="11"/>
        <v>682.00000000000068</v>
      </c>
      <c r="T10" s="11">
        <v>1262.9999999999368</v>
      </c>
      <c r="U10" s="3" t="s">
        <v>46</v>
      </c>
      <c r="V10" s="9">
        <f t="shared" si="12"/>
        <v>793.9999999999751</v>
      </c>
      <c r="W10" s="11">
        <v>588.99999999999443</v>
      </c>
      <c r="X10" s="3" t="s">
        <v>46</v>
      </c>
      <c r="Y10" s="9">
        <f t="shared" si="13"/>
        <v>370.00000000000375</v>
      </c>
      <c r="Z10" s="11">
        <v>1472.9999999998963</v>
      </c>
      <c r="AA10" s="3" t="s">
        <v>46</v>
      </c>
      <c r="AB10" s="9">
        <f t="shared" si="14"/>
        <v>926.00000000004206</v>
      </c>
      <c r="AC10" s="11">
        <v>332.99999999999523</v>
      </c>
      <c r="AD10" s="3" t="s">
        <v>46</v>
      </c>
      <c r="AE10" s="9">
        <f t="shared" si="15"/>
        <v>208.99999999999892</v>
      </c>
      <c r="AG10" s="3">
        <f t="shared" si="9"/>
        <v>4743.9999999997608</v>
      </c>
      <c r="AH10" s="3" t="s">
        <v>21</v>
      </c>
      <c r="AI10" s="3">
        <f t="shared" si="6"/>
        <v>5700</v>
      </c>
    </row>
    <row r="11" spans="2:35" x14ac:dyDescent="0.25">
      <c r="B11">
        <v>5</v>
      </c>
      <c r="C11">
        <f t="shared" si="10"/>
        <v>0.26189798615189719</v>
      </c>
      <c r="D11" s="7">
        <v>10802</v>
      </c>
      <c r="E11" s="7">
        <f t="shared" si="7"/>
        <v>22527</v>
      </c>
      <c r="F11" s="7">
        <f t="shared" si="8"/>
        <v>22261.328822911262</v>
      </c>
      <c r="G11" s="7">
        <f t="shared" si="0"/>
        <v>4452</v>
      </c>
      <c r="H11" s="7"/>
      <c r="J11" s="7">
        <f t="shared" si="1"/>
        <v>1017</v>
      </c>
      <c r="K11" s="7">
        <f t="shared" si="2"/>
        <v>1183</v>
      </c>
      <c r="L11" s="7">
        <f t="shared" si="3"/>
        <v>552</v>
      </c>
      <c r="M11" s="7">
        <f t="shared" si="4"/>
        <v>1380</v>
      </c>
      <c r="N11" s="7">
        <f t="shared" si="5"/>
        <v>312</v>
      </c>
      <c r="O11" s="7"/>
      <c r="P11" s="3">
        <v>5</v>
      </c>
      <c r="Q11" s="11">
        <v>1068.9999999999834</v>
      </c>
      <c r="R11" s="3" t="s">
        <v>46</v>
      </c>
      <c r="S11" s="9">
        <f>IF(J11&gt;J10,Q10,0)</f>
        <v>1085.9999999999372</v>
      </c>
      <c r="T11" s="11">
        <v>1243.9999999999266</v>
      </c>
      <c r="U11" s="3" t="s">
        <v>46</v>
      </c>
      <c r="V11" s="9">
        <f t="shared" si="12"/>
        <v>1262.9999999999368</v>
      </c>
      <c r="W11" s="11">
        <v>580.00000000001751</v>
      </c>
      <c r="X11" s="3" t="s">
        <v>46</v>
      </c>
      <c r="Y11" s="9">
        <f t="shared" si="13"/>
        <v>588.99999999999443</v>
      </c>
      <c r="Z11" s="11">
        <v>1450.9999999999798</v>
      </c>
      <c r="AA11" s="3" t="s">
        <v>46</v>
      </c>
      <c r="AB11" s="9">
        <f t="shared" si="14"/>
        <v>1472.9999999998963</v>
      </c>
      <c r="AC11" s="11">
        <v>327.99999999999972</v>
      </c>
      <c r="AD11" s="3" t="s">
        <v>46</v>
      </c>
      <c r="AE11" s="9">
        <f t="shared" si="15"/>
        <v>332.99999999999523</v>
      </c>
      <c r="AG11" s="3">
        <f t="shared" si="9"/>
        <v>4671.9999999999072</v>
      </c>
      <c r="AH11" s="3" t="s">
        <v>21</v>
      </c>
      <c r="AI11" s="3">
        <f t="shared" si="6"/>
        <v>5700</v>
      </c>
    </row>
    <row r="12" spans="2:35" x14ac:dyDescent="0.25">
      <c r="B12">
        <v>6</v>
      </c>
      <c r="C12">
        <f t="shared" si="10"/>
        <v>0.20657803198526814</v>
      </c>
      <c r="D12" s="7">
        <v>6245</v>
      </c>
      <c r="E12" s="7">
        <f t="shared" si="7"/>
        <v>17047</v>
      </c>
      <c r="F12" s="7">
        <f t="shared" si="8"/>
        <v>17559.132718747791</v>
      </c>
      <c r="G12" s="7">
        <f t="shared" si="0"/>
        <v>3512</v>
      </c>
      <c r="H12" s="7"/>
      <c r="J12" s="7">
        <f t="shared" si="1"/>
        <v>802</v>
      </c>
      <c r="K12" s="7">
        <f t="shared" si="2"/>
        <v>933</v>
      </c>
      <c r="L12" s="7">
        <f t="shared" si="3"/>
        <v>435</v>
      </c>
      <c r="M12" s="7">
        <f t="shared" si="4"/>
        <v>1089</v>
      </c>
      <c r="N12" s="7">
        <f t="shared" si="5"/>
        <v>246</v>
      </c>
      <c r="O12" s="7"/>
      <c r="P12" s="3">
        <v>6</v>
      </c>
      <c r="Q12" s="11">
        <v>728.00000000000261</v>
      </c>
      <c r="R12" s="3" t="s">
        <v>46</v>
      </c>
      <c r="S12" s="9">
        <f t="shared" si="11"/>
        <v>0</v>
      </c>
      <c r="T12" s="11">
        <v>847.00000000001421</v>
      </c>
      <c r="U12" s="3" t="s">
        <v>46</v>
      </c>
      <c r="V12" s="9">
        <f t="shared" si="12"/>
        <v>0</v>
      </c>
      <c r="W12" s="11">
        <v>394.9999999999979</v>
      </c>
      <c r="X12" s="3" t="s">
        <v>46</v>
      </c>
      <c r="Y12" s="9">
        <f t="shared" si="13"/>
        <v>0</v>
      </c>
      <c r="Z12" s="11">
        <v>987.99999999996362</v>
      </c>
      <c r="AA12" s="3" t="s">
        <v>46</v>
      </c>
      <c r="AB12" s="9">
        <f t="shared" si="14"/>
        <v>0</v>
      </c>
      <c r="AC12" s="11">
        <v>222.99999999999935</v>
      </c>
      <c r="AD12" s="3" t="s">
        <v>46</v>
      </c>
      <c r="AE12" s="9">
        <f t="shared" si="15"/>
        <v>0</v>
      </c>
      <c r="AG12" s="3">
        <f t="shared" si="9"/>
        <v>3180.9999999999777</v>
      </c>
      <c r="AH12" s="3" t="s">
        <v>21</v>
      </c>
      <c r="AI12" s="3">
        <f t="shared" si="6"/>
        <v>5700</v>
      </c>
    </row>
    <row r="13" spans="2:35" x14ac:dyDescent="0.25">
      <c r="B13">
        <v>7</v>
      </c>
      <c r="C13">
        <f t="shared" si="10"/>
        <v>0.1147305869132664</v>
      </c>
      <c r="D13" s="7">
        <v>3051</v>
      </c>
      <c r="E13" s="7">
        <f t="shared" si="7"/>
        <v>9296</v>
      </c>
      <c r="F13" s="7">
        <f t="shared" si="8"/>
        <v>9752.0998876276444</v>
      </c>
      <c r="G13" s="7">
        <f t="shared" si="0"/>
        <v>1950</v>
      </c>
      <c r="H13" s="7"/>
      <c r="J13" s="7">
        <f t="shared" si="1"/>
        <v>446</v>
      </c>
      <c r="K13" s="7">
        <f t="shared" si="2"/>
        <v>518</v>
      </c>
      <c r="L13" s="7">
        <f t="shared" si="3"/>
        <v>242</v>
      </c>
      <c r="M13" s="7">
        <f t="shared" si="4"/>
        <v>605</v>
      </c>
      <c r="N13" s="7">
        <f t="shared" si="5"/>
        <v>137</v>
      </c>
      <c r="O13" s="7"/>
      <c r="P13" s="3">
        <v>7</v>
      </c>
      <c r="Q13" s="11">
        <v>357.00000000000125</v>
      </c>
      <c r="R13" s="3" t="s">
        <v>46</v>
      </c>
      <c r="S13" s="9">
        <f t="shared" si="11"/>
        <v>0</v>
      </c>
      <c r="T13" s="11">
        <v>416.00000000000148</v>
      </c>
      <c r="U13" s="3" t="s">
        <v>46</v>
      </c>
      <c r="V13" s="9">
        <f t="shared" si="12"/>
        <v>0</v>
      </c>
      <c r="W13" s="11">
        <v>194.00000000000068</v>
      </c>
      <c r="X13" s="3" t="s">
        <v>46</v>
      </c>
      <c r="Y13" s="9">
        <f t="shared" si="13"/>
        <v>0</v>
      </c>
      <c r="Z13" s="11">
        <v>485.00000000000171</v>
      </c>
      <c r="AA13" s="3" t="s">
        <v>46</v>
      </c>
      <c r="AB13" s="9">
        <f t="shared" si="14"/>
        <v>0</v>
      </c>
      <c r="AC13" s="11">
        <v>109.00000000000065</v>
      </c>
      <c r="AD13" s="3" t="s">
        <v>46</v>
      </c>
      <c r="AE13" s="9">
        <f t="shared" si="15"/>
        <v>0</v>
      </c>
      <c r="AG13" s="3">
        <f t="shared" si="9"/>
        <v>1561.0000000000057</v>
      </c>
      <c r="AH13" s="3" t="s">
        <v>21</v>
      </c>
      <c r="AI13" s="3">
        <f t="shared" si="6"/>
        <v>5700</v>
      </c>
    </row>
    <row r="14" spans="2:35" x14ac:dyDescent="0.25">
      <c r="B14">
        <v>8</v>
      </c>
      <c r="C14">
        <f t="shared" si="10"/>
        <v>4.5054231518894317E-2</v>
      </c>
      <c r="D14" s="7">
        <v>901</v>
      </c>
      <c r="E14" s="7">
        <f t="shared" si="7"/>
        <v>3952</v>
      </c>
      <c r="F14" s="7">
        <f t="shared" si="8"/>
        <v>3829.6096791060168</v>
      </c>
      <c r="G14" s="7">
        <f t="shared" si="0"/>
        <v>766</v>
      </c>
      <c r="H14" s="7"/>
      <c r="J14" s="7">
        <f t="shared" si="1"/>
        <v>175</v>
      </c>
      <c r="K14" s="7">
        <f t="shared" si="2"/>
        <v>204</v>
      </c>
      <c r="L14" s="7">
        <f t="shared" si="3"/>
        <v>95</v>
      </c>
      <c r="M14" s="7">
        <f t="shared" si="4"/>
        <v>237</v>
      </c>
      <c r="N14" s="7">
        <f t="shared" si="5"/>
        <v>54</v>
      </c>
      <c r="O14" s="7"/>
      <c r="P14" s="3">
        <v>8</v>
      </c>
      <c r="Q14" s="11">
        <v>126.00000000000045</v>
      </c>
      <c r="R14" s="3" t="s">
        <v>46</v>
      </c>
      <c r="S14" s="9">
        <f t="shared" si="11"/>
        <v>0</v>
      </c>
      <c r="T14" s="11">
        <v>145.9999999999994</v>
      </c>
      <c r="U14" s="3" t="s">
        <v>46</v>
      </c>
      <c r="V14" s="9">
        <f t="shared" si="12"/>
        <v>0</v>
      </c>
      <c r="W14" s="11">
        <v>68.000000000000242</v>
      </c>
      <c r="X14" s="3" t="s">
        <v>46</v>
      </c>
      <c r="Y14" s="9">
        <f t="shared" si="13"/>
        <v>0</v>
      </c>
      <c r="Z14" s="11">
        <v>170.99999999999838</v>
      </c>
      <c r="AA14" s="3" t="s">
        <v>46</v>
      </c>
      <c r="AB14" s="9">
        <f t="shared" si="14"/>
        <v>0</v>
      </c>
      <c r="AC14" s="11">
        <v>38.999999999999972</v>
      </c>
      <c r="AD14" s="3" t="s">
        <v>46</v>
      </c>
      <c r="AE14" s="9">
        <f t="shared" si="15"/>
        <v>0</v>
      </c>
      <c r="AG14" s="3">
        <f t="shared" si="9"/>
        <v>549.99999999999852</v>
      </c>
      <c r="AH14" s="3" t="s">
        <v>21</v>
      </c>
      <c r="AI14" s="3">
        <f t="shared" si="6"/>
        <v>5700</v>
      </c>
    </row>
    <row r="15" spans="2:35" x14ac:dyDescent="0.25">
      <c r="B15">
        <v>9</v>
      </c>
      <c r="C15">
        <f t="shared" si="10"/>
        <v>1.2090529535488946E-2</v>
      </c>
      <c r="D15" s="7">
        <v>0</v>
      </c>
      <c r="E15" s="7">
        <f t="shared" si="7"/>
        <v>901</v>
      </c>
      <c r="F15" s="7">
        <f t="shared" si="8"/>
        <v>1027.6950105165604</v>
      </c>
      <c r="G15" s="7">
        <f t="shared" si="0"/>
        <v>206</v>
      </c>
      <c r="H15" s="7"/>
      <c r="J15" s="7">
        <f t="shared" si="1"/>
        <v>47</v>
      </c>
      <c r="K15" s="7">
        <f t="shared" si="2"/>
        <v>55</v>
      </c>
      <c r="L15" s="7">
        <f t="shared" si="3"/>
        <v>26</v>
      </c>
      <c r="M15" s="7">
        <f t="shared" si="4"/>
        <v>64</v>
      </c>
      <c r="N15" s="7">
        <f t="shared" si="5"/>
        <v>14</v>
      </c>
      <c r="O15" s="7"/>
      <c r="P15" s="3">
        <v>9</v>
      </c>
      <c r="Q15" s="11">
        <v>31.000000000000028</v>
      </c>
      <c r="R15" s="3" t="s">
        <v>46</v>
      </c>
      <c r="S15" s="9">
        <f t="shared" si="11"/>
        <v>0</v>
      </c>
      <c r="T15" s="11">
        <v>35.999999999999986</v>
      </c>
      <c r="U15" s="3" t="s">
        <v>46</v>
      </c>
      <c r="V15" s="9">
        <f t="shared" si="12"/>
        <v>0</v>
      </c>
      <c r="W15" s="11">
        <v>16.999999999999996</v>
      </c>
      <c r="X15" s="3" t="s">
        <v>46</v>
      </c>
      <c r="Y15" s="9">
        <f t="shared" si="13"/>
        <v>0</v>
      </c>
      <c r="Z15" s="11">
        <v>41.99999999999995</v>
      </c>
      <c r="AA15" s="3" t="s">
        <v>46</v>
      </c>
      <c r="AB15" s="9">
        <f t="shared" si="14"/>
        <v>0</v>
      </c>
      <c r="AC15" s="11">
        <v>8.9999999999999964</v>
      </c>
      <c r="AD15" s="3" t="s">
        <v>46</v>
      </c>
      <c r="AE15" s="9">
        <f t="shared" si="15"/>
        <v>0</v>
      </c>
      <c r="AG15" s="3">
        <f t="shared" si="9"/>
        <v>134.99999999999997</v>
      </c>
      <c r="AH15" s="3" t="s">
        <v>21</v>
      </c>
      <c r="AI15" s="3">
        <f t="shared" si="6"/>
        <v>5700</v>
      </c>
    </row>
    <row r="16" spans="2:35" ht="15.75" thickBot="1" x14ac:dyDescent="0.3">
      <c r="B16">
        <v>10</v>
      </c>
      <c r="C16">
        <f t="shared" si="10"/>
        <v>2.0460780168117042E-3</v>
      </c>
      <c r="D16" s="7">
        <v>0</v>
      </c>
      <c r="E16" s="7">
        <f t="shared" si="7"/>
        <v>0</v>
      </c>
      <c r="F16" s="7">
        <f t="shared" si="8"/>
        <v>173.91663142899486</v>
      </c>
      <c r="G16" s="7">
        <f t="shared" si="0"/>
        <v>35</v>
      </c>
      <c r="H16" s="7"/>
      <c r="J16" s="7">
        <f t="shared" si="1"/>
        <v>8</v>
      </c>
      <c r="K16" s="7">
        <f t="shared" si="2"/>
        <v>9</v>
      </c>
      <c r="L16" s="7">
        <f t="shared" si="3"/>
        <v>4</v>
      </c>
      <c r="M16" s="7">
        <f t="shared" si="4"/>
        <v>11</v>
      </c>
      <c r="N16" s="7">
        <f t="shared" si="5"/>
        <v>2</v>
      </c>
      <c r="O16" s="7"/>
      <c r="P16" s="3">
        <v>10</v>
      </c>
      <c r="Q16" s="12">
        <v>5.0000000000000009</v>
      </c>
      <c r="R16" s="3" t="s">
        <v>46</v>
      </c>
      <c r="S16" s="9">
        <f t="shared" si="11"/>
        <v>0</v>
      </c>
      <c r="T16" s="12">
        <v>6.0000000000000018</v>
      </c>
      <c r="U16" s="3" t="s">
        <v>46</v>
      </c>
      <c r="V16" s="9">
        <f t="shared" si="12"/>
        <v>0</v>
      </c>
      <c r="W16" s="12">
        <v>2.9999999999999996</v>
      </c>
      <c r="X16" s="3" t="s">
        <v>46</v>
      </c>
      <c r="Y16" s="9">
        <f t="shared" si="13"/>
        <v>0</v>
      </c>
      <c r="Z16" s="12">
        <v>6.9999999999999973</v>
      </c>
      <c r="AA16" s="3" t="s">
        <v>46</v>
      </c>
      <c r="AB16" s="9">
        <f t="shared" si="14"/>
        <v>0</v>
      </c>
      <c r="AC16" s="12">
        <v>1</v>
      </c>
      <c r="AD16" s="3" t="s">
        <v>46</v>
      </c>
      <c r="AE16" s="9">
        <f t="shared" si="15"/>
        <v>0</v>
      </c>
      <c r="AG16" s="3">
        <f t="shared" si="9"/>
        <v>22</v>
      </c>
      <c r="AH16" s="3" t="s">
        <v>21</v>
      </c>
      <c r="AI16" s="3">
        <f t="shared" si="6"/>
        <v>5700</v>
      </c>
    </row>
    <row r="17" spans="4:31" ht="15.75" thickTop="1" x14ac:dyDescent="0.25">
      <c r="D17" s="7"/>
      <c r="E17" s="7"/>
      <c r="F17" s="7"/>
      <c r="G17" s="7"/>
      <c r="H17" s="7"/>
      <c r="I17" s="8"/>
      <c r="J17" s="8"/>
      <c r="K17" s="8"/>
      <c r="L17" s="8"/>
      <c r="M17" s="8"/>
    </row>
    <row r="18" spans="4:31" x14ac:dyDescent="0.25">
      <c r="D18" s="7"/>
      <c r="E18" s="7"/>
      <c r="F18" s="7"/>
      <c r="G18" s="7"/>
      <c r="H18" s="7"/>
      <c r="I18" s="8"/>
      <c r="J18" s="23"/>
      <c r="K18" s="23"/>
      <c r="L18" s="23"/>
      <c r="M18" s="23"/>
      <c r="N18" s="8"/>
      <c r="O18" s="8"/>
      <c r="Q18" s="3" t="s">
        <v>47</v>
      </c>
      <c r="R18" s="3"/>
      <c r="S18" s="3"/>
      <c r="T18" s="3" t="s">
        <v>47</v>
      </c>
      <c r="U18" s="3"/>
      <c r="V18" s="3"/>
      <c r="W18" s="3" t="s">
        <v>47</v>
      </c>
      <c r="X18" s="3"/>
      <c r="Y18" s="3"/>
      <c r="Z18" s="3" t="s">
        <v>47</v>
      </c>
      <c r="AA18" s="3"/>
      <c r="AB18" s="3"/>
      <c r="AC18" s="3" t="s">
        <v>47</v>
      </c>
      <c r="AD18" s="3"/>
      <c r="AE18" s="13" t="s">
        <v>37</v>
      </c>
    </row>
    <row r="19" spans="4:31" x14ac:dyDescent="0.25">
      <c r="D19" s="7"/>
      <c r="E19" s="7"/>
      <c r="F19" s="7"/>
      <c r="G19" s="7"/>
      <c r="H19" s="7"/>
      <c r="I19" s="8"/>
      <c r="J19" s="22"/>
      <c r="K19" s="8"/>
      <c r="L19" s="8"/>
      <c r="M19" s="8"/>
      <c r="Q19" s="13"/>
      <c r="R19" s="13"/>
      <c r="S19" s="13"/>
      <c r="T19" s="13"/>
      <c r="U19" s="13"/>
      <c r="V19" s="3"/>
      <c r="W19" s="13"/>
      <c r="X19" s="13"/>
      <c r="Y19" s="13"/>
      <c r="Z19" s="13"/>
      <c r="AA19" s="13"/>
      <c r="AB19" s="13"/>
      <c r="AC19" s="13"/>
      <c r="AD19" s="3"/>
      <c r="AE19" s="13"/>
    </row>
    <row r="20" spans="4:31" x14ac:dyDescent="0.25">
      <c r="D20" s="7"/>
      <c r="E20" s="7"/>
      <c r="F20" s="7"/>
      <c r="G20" s="7"/>
      <c r="H20" s="7"/>
      <c r="I20" s="8"/>
      <c r="J20" s="8"/>
      <c r="K20" s="8"/>
      <c r="L20" s="8"/>
      <c r="M20" s="8"/>
      <c r="Q20" s="13">
        <f t="shared" ref="Q20:Q29" si="16">IF(J7=0,0,(J7-Q7)/J7)</f>
        <v>-2.6666666666666656</v>
      </c>
      <c r="R20" s="13"/>
      <c r="S20" s="13"/>
      <c r="T20" s="13">
        <f>IF(K7=0,0,(K7-T7)/K7)</f>
        <v>-2.9999999999999982</v>
      </c>
      <c r="U20" s="13"/>
      <c r="V20" s="3"/>
      <c r="W20" s="13">
        <f>IF(L7=0,0,(L7-W7)/L7)</f>
        <v>-5.0000000000000018</v>
      </c>
      <c r="X20" s="13"/>
      <c r="Y20" s="13"/>
      <c r="Z20" s="13">
        <f t="shared" ref="Z20:Z29" si="17">IF(M7=0,0,(M7-Z7)/M7)</f>
        <v>-2.5000000000000018</v>
      </c>
      <c r="AA20" s="13"/>
      <c r="AB20" s="13"/>
      <c r="AC20" s="13">
        <f t="shared" ref="AC20:AC29" si="18">IF(N7=0,0,(N7-AC7)/N7)</f>
        <v>-1.9999999999999996</v>
      </c>
      <c r="AD20" s="3"/>
      <c r="AE20" s="13">
        <f>AVERAGE(Q20:AC20)</f>
        <v>-3.0333333333333337</v>
      </c>
    </row>
    <row r="21" spans="4:31" x14ac:dyDescent="0.25">
      <c r="D21" s="7"/>
      <c r="E21" s="7"/>
      <c r="F21" s="7"/>
      <c r="G21" s="7"/>
      <c r="H21" s="7"/>
      <c r="I21" s="8"/>
      <c r="J21" s="8"/>
      <c r="K21" s="8"/>
      <c r="L21" s="8"/>
      <c r="M21" s="8"/>
      <c r="Q21" s="13">
        <f t="shared" si="16"/>
        <v>-1.1868131868131775</v>
      </c>
      <c r="R21" s="13"/>
      <c r="S21" s="13"/>
      <c r="T21" s="13">
        <f t="shared" ref="T21:T29" si="19">IF(K8=0,0,(K8-T8)/K8)</f>
        <v>-1.1886792452830286</v>
      </c>
      <c r="U21" s="13"/>
      <c r="V21" s="3"/>
      <c r="W21" s="13">
        <f t="shared" ref="W21:W29" si="20">IF(L8=0,0,(L8-W8)/L8)</f>
        <v>-1.2040816326530515</v>
      </c>
      <c r="X21" s="13"/>
      <c r="Y21" s="13"/>
      <c r="Z21" s="13">
        <f t="shared" si="17"/>
        <v>-1.2032520325203553</v>
      </c>
      <c r="AA21" s="13"/>
      <c r="AB21" s="13"/>
      <c r="AC21" s="13">
        <f t="shared" si="18"/>
        <v>-1.1785714285714259</v>
      </c>
      <c r="AD21" s="3"/>
      <c r="AE21" s="13">
        <f t="shared" ref="AE21:AE29" si="21">AVERAGE(Q21:AC21)</f>
        <v>-1.1922795051682078</v>
      </c>
    </row>
    <row r="22" spans="4:31" x14ac:dyDescent="0.25">
      <c r="H22" s="7"/>
      <c r="I22" s="8"/>
      <c r="J22" s="8"/>
      <c r="K22" s="8"/>
      <c r="L22" s="8"/>
      <c r="M22" s="8"/>
      <c r="Q22" s="13">
        <f t="shared" si="16"/>
        <v>-0.5823665893271478</v>
      </c>
      <c r="R22" s="13"/>
      <c r="S22" s="13"/>
      <c r="T22" s="13">
        <f t="shared" si="19"/>
        <v>-0.58483033932130757</v>
      </c>
      <c r="U22" s="13"/>
      <c r="V22" s="3"/>
      <c r="W22" s="13">
        <f t="shared" si="20"/>
        <v>-0.58119658119659723</v>
      </c>
      <c r="X22" s="13"/>
      <c r="Y22" s="13"/>
      <c r="Z22" s="13">
        <f t="shared" si="17"/>
        <v>-0.58290598290605478</v>
      </c>
      <c r="AA22" s="13"/>
      <c r="AB22" s="13"/>
      <c r="AC22" s="13">
        <f t="shared" si="18"/>
        <v>-0.58333333333332515</v>
      </c>
      <c r="AD22" s="3"/>
      <c r="AE22" s="13">
        <f t="shared" si="21"/>
        <v>-0.58292656521688646</v>
      </c>
    </row>
    <row r="23" spans="4:31" x14ac:dyDescent="0.25">
      <c r="Q23" s="13">
        <f t="shared" si="16"/>
        <v>-0.25694444444437181</v>
      </c>
      <c r="R23" s="13"/>
      <c r="S23" s="13"/>
      <c r="T23" s="13">
        <f t="shared" si="19"/>
        <v>-0.25671641791038485</v>
      </c>
      <c r="U23" s="13"/>
      <c r="V23" s="3"/>
      <c r="W23" s="13">
        <f t="shared" si="20"/>
        <v>-0.25586353944561713</v>
      </c>
      <c r="X23" s="13"/>
      <c r="Y23" s="13"/>
      <c r="Z23" s="13">
        <f t="shared" si="17"/>
        <v>-0.25682593856646446</v>
      </c>
      <c r="AA23" s="13"/>
      <c r="AB23" s="13"/>
      <c r="AC23" s="13">
        <f t="shared" si="18"/>
        <v>-0.25660377358488762</v>
      </c>
      <c r="AD23" s="3"/>
      <c r="AE23" s="13">
        <f t="shared" si="21"/>
        <v>-0.25659082279034517</v>
      </c>
    </row>
    <row r="24" spans="4:31" x14ac:dyDescent="0.25">
      <c r="Q24" s="13">
        <f t="shared" si="16"/>
        <v>-5.1130776794477285E-2</v>
      </c>
      <c r="R24" s="13"/>
      <c r="S24" s="13"/>
      <c r="T24" s="13">
        <f t="shared" si="19"/>
        <v>-5.1563820794527947E-2</v>
      </c>
      <c r="U24" s="13"/>
      <c r="V24" s="3"/>
      <c r="W24" s="13">
        <f t="shared" si="20"/>
        <v>-5.0724637681191134E-2</v>
      </c>
      <c r="X24" s="13"/>
      <c r="Y24" s="13"/>
      <c r="Z24" s="13">
        <f t="shared" si="17"/>
        <v>-5.1449275362304175E-2</v>
      </c>
      <c r="AA24" s="13"/>
      <c r="AB24" s="13"/>
      <c r="AC24" s="13">
        <f t="shared" si="18"/>
        <v>-5.1282051282050371E-2</v>
      </c>
      <c r="AD24" s="3"/>
      <c r="AE24" s="13">
        <f t="shared" si="21"/>
        <v>-5.1230112382910177E-2</v>
      </c>
    </row>
    <row r="25" spans="4:31" x14ac:dyDescent="0.25">
      <c r="Q25" s="13">
        <f t="shared" si="16"/>
        <v>9.2269326683288508E-2</v>
      </c>
      <c r="R25" s="13"/>
      <c r="S25" s="13"/>
      <c r="T25" s="13">
        <f t="shared" si="19"/>
        <v>9.2175777063221637E-2</v>
      </c>
      <c r="U25" s="13"/>
      <c r="V25" s="3"/>
      <c r="W25" s="13">
        <f t="shared" si="20"/>
        <v>9.1954022988510575E-2</v>
      </c>
      <c r="X25" s="13"/>
      <c r="Y25" s="13"/>
      <c r="Z25" s="13">
        <f t="shared" si="17"/>
        <v>9.2745638200217057E-2</v>
      </c>
      <c r="AA25" s="13"/>
      <c r="AB25" s="13"/>
      <c r="AC25" s="13">
        <f t="shared" si="18"/>
        <v>9.3495934959352253E-2</v>
      </c>
      <c r="AD25" s="3"/>
      <c r="AE25" s="13">
        <f t="shared" si="21"/>
        <v>9.2528139978917998E-2</v>
      </c>
    </row>
    <row r="26" spans="4:31" x14ac:dyDescent="0.25">
      <c r="Q26" s="13">
        <f t="shared" si="16"/>
        <v>0.19955156950672365</v>
      </c>
      <c r="R26" s="13"/>
      <c r="S26" s="13"/>
      <c r="T26" s="13">
        <f t="shared" si="19"/>
        <v>0.19691119691119405</v>
      </c>
      <c r="U26" s="13"/>
      <c r="V26" s="3"/>
      <c r="W26" s="13">
        <f t="shared" si="20"/>
        <v>0.1983471074380137</v>
      </c>
      <c r="X26" s="13"/>
      <c r="Y26" s="13"/>
      <c r="Z26" s="13">
        <f t="shared" si="17"/>
        <v>0.1983471074380137</v>
      </c>
      <c r="AA26" s="13"/>
      <c r="AB26" s="13"/>
      <c r="AC26" s="13">
        <f t="shared" si="18"/>
        <v>0.20437956204379085</v>
      </c>
      <c r="AD26" s="3"/>
      <c r="AE26" s="13">
        <f t="shared" si="21"/>
        <v>0.19950730866754715</v>
      </c>
    </row>
    <row r="27" spans="4:31" x14ac:dyDescent="0.25">
      <c r="Q27" s="13">
        <f t="shared" si="16"/>
        <v>0.27999999999999742</v>
      </c>
      <c r="R27" s="13"/>
      <c r="S27" s="13"/>
      <c r="T27" s="13">
        <f t="shared" si="19"/>
        <v>0.28431372549019901</v>
      </c>
      <c r="U27" s="13"/>
      <c r="V27" s="3"/>
      <c r="W27" s="13">
        <f t="shared" si="20"/>
        <v>0.28421052631578692</v>
      </c>
      <c r="X27" s="13"/>
      <c r="Y27" s="13"/>
      <c r="Z27" s="13">
        <f t="shared" si="17"/>
        <v>0.27848101265823466</v>
      </c>
      <c r="AA27" s="13"/>
      <c r="AB27" s="13"/>
      <c r="AC27" s="13">
        <f t="shared" si="18"/>
        <v>0.27777777777777829</v>
      </c>
      <c r="AD27" s="3"/>
      <c r="AE27" s="13">
        <f t="shared" si="21"/>
        <v>0.28095660844839931</v>
      </c>
    </row>
    <row r="28" spans="4:31" x14ac:dyDescent="0.25">
      <c r="Q28" s="13">
        <f t="shared" si="16"/>
        <v>0.340425531914893</v>
      </c>
      <c r="R28" s="13"/>
      <c r="S28" s="13"/>
      <c r="T28" s="13">
        <f t="shared" si="19"/>
        <v>0.34545454545454574</v>
      </c>
      <c r="U28" s="13"/>
      <c r="V28" s="3"/>
      <c r="W28" s="13">
        <f t="shared" si="20"/>
        <v>0.34615384615384631</v>
      </c>
      <c r="X28" s="13"/>
      <c r="Y28" s="13"/>
      <c r="Z28" s="13">
        <f t="shared" si="17"/>
        <v>0.34375000000000078</v>
      </c>
      <c r="AA28" s="13"/>
      <c r="AB28" s="13"/>
      <c r="AC28" s="13">
        <f t="shared" si="18"/>
        <v>0.35714285714285737</v>
      </c>
      <c r="AD28" s="3"/>
      <c r="AE28" s="13">
        <f t="shared" si="21"/>
        <v>0.34658535613322861</v>
      </c>
    </row>
    <row r="29" spans="4:31" x14ac:dyDescent="0.25">
      <c r="Q29" s="13">
        <f t="shared" si="16"/>
        <v>0.37499999999999989</v>
      </c>
      <c r="R29" s="13"/>
      <c r="S29" s="13"/>
      <c r="T29" s="13">
        <f t="shared" si="19"/>
        <v>0.33333333333333315</v>
      </c>
      <c r="U29" s="13"/>
      <c r="V29" s="3"/>
      <c r="W29" s="13">
        <f t="shared" si="20"/>
        <v>0.25000000000000011</v>
      </c>
      <c r="X29" s="13"/>
      <c r="Y29" s="13"/>
      <c r="Z29" s="13">
        <f t="shared" si="17"/>
        <v>0.36363636363636387</v>
      </c>
      <c r="AA29" s="13"/>
      <c r="AB29" s="13"/>
      <c r="AC29" s="13">
        <f t="shared" si="18"/>
        <v>0.5</v>
      </c>
      <c r="AD29" s="3"/>
      <c r="AE29" s="13">
        <f t="shared" si="21"/>
        <v>0.36439393939393938</v>
      </c>
    </row>
    <row r="30" spans="4:31" x14ac:dyDescent="0.25">
      <c r="Q30" s="4"/>
      <c r="R30" s="4"/>
      <c r="S30" s="4"/>
      <c r="T30" s="4"/>
      <c r="U30" s="13"/>
      <c r="V30" s="3"/>
      <c r="W30" s="4"/>
      <c r="X30" s="13"/>
      <c r="Y30" s="13"/>
      <c r="Z30" s="4"/>
      <c r="AA30" s="13"/>
      <c r="AB30" s="13"/>
      <c r="AC30" s="4"/>
      <c r="AD30" s="3"/>
    </row>
    <row r="31" spans="4:31" x14ac:dyDescent="0.25">
      <c r="Q31" s="13"/>
      <c r="R31" s="3"/>
      <c r="S31" s="3"/>
      <c r="T31" s="13"/>
      <c r="U31" s="4"/>
      <c r="V31" s="4"/>
      <c r="W31" s="13"/>
      <c r="X31" s="4"/>
      <c r="Y31" s="4"/>
      <c r="Z31" s="13"/>
      <c r="AA31" s="4"/>
      <c r="AB31" s="4"/>
      <c r="AC31" s="13"/>
      <c r="AD31" s="4"/>
    </row>
    <row r="32" spans="4:31" x14ac:dyDescent="0.25">
      <c r="P32" s="3" t="s">
        <v>53</v>
      </c>
      <c r="Q32" s="13">
        <f>AVERAGE(Q19:Q29)</f>
        <v>-0.3456675235940937</v>
      </c>
      <c r="R32" s="13"/>
      <c r="S32" s="13"/>
      <c r="T32" s="13">
        <f>AVERAGE(T19:T29)</f>
        <v>-0.38296012450567529</v>
      </c>
      <c r="U32" s="3"/>
      <c r="V32" s="3"/>
      <c r="W32" s="13">
        <f>AVERAGE(W19:W29)</f>
        <v>-0.59212008880802991</v>
      </c>
      <c r="X32" s="3"/>
      <c r="Y32" s="3"/>
      <c r="Z32" s="13">
        <f>AVERAGE(Z19:Z29)</f>
        <v>-0.33174731074223501</v>
      </c>
      <c r="AA32" s="3"/>
      <c r="AB32" s="3"/>
      <c r="AC32" s="13">
        <f>AVERAGE(AC19:AC29)</f>
        <v>-0.26369944548479102</v>
      </c>
    </row>
    <row r="33" spans="16:31" ht="15.75" thickBot="1" x14ac:dyDescent="0.3">
      <c r="Q33" s="4"/>
      <c r="R33" s="4"/>
      <c r="S33" s="4"/>
      <c r="T33" s="4"/>
      <c r="U33" s="3"/>
      <c r="V33" s="3"/>
      <c r="W33" s="4"/>
      <c r="X33" s="3"/>
      <c r="Y33" s="3"/>
      <c r="Z33" s="4"/>
      <c r="AA33" s="3"/>
      <c r="AB33" s="3"/>
      <c r="AC33" s="4"/>
      <c r="AD33" s="4"/>
    </row>
    <row r="34" spans="16:31" ht="16.5" thickTop="1" thickBot="1" x14ac:dyDescent="0.3">
      <c r="P34" t="s">
        <v>20</v>
      </c>
      <c r="Q34" s="32">
        <f>AVERAGE(AE19:AE29)</f>
        <v>-0.38323889862696514</v>
      </c>
      <c r="R34" s="31"/>
      <c r="S34" s="4"/>
      <c r="T34" s="4"/>
      <c r="U34" s="4"/>
      <c r="V34" s="4"/>
      <c r="W34" s="4"/>
      <c r="X34" s="4"/>
      <c r="Y34" s="4"/>
      <c r="Z34" s="4"/>
      <c r="AA34" s="4"/>
      <c r="AB34" s="4"/>
      <c r="AC34" s="4"/>
      <c r="AD34" s="4"/>
    </row>
    <row r="35" spans="16:31" ht="15.75" thickTop="1" x14ac:dyDescent="0.25">
      <c r="Q35" s="4"/>
      <c r="R35" s="4"/>
      <c r="S35" s="4"/>
      <c r="T35" s="4"/>
      <c r="U35" s="4"/>
      <c r="V35" s="4"/>
      <c r="W35" s="4"/>
      <c r="X35" s="4"/>
      <c r="Y35" s="4"/>
      <c r="Z35" s="4"/>
      <c r="AA35" s="4"/>
      <c r="AB35" s="4"/>
      <c r="AC35" s="4"/>
      <c r="AD35" s="4"/>
    </row>
    <row r="36" spans="16:31" x14ac:dyDescent="0.25">
      <c r="Q36" s="4"/>
      <c r="R36" s="4"/>
      <c r="S36" s="4"/>
      <c r="T36" s="4"/>
      <c r="U36" s="4"/>
      <c r="V36" s="4"/>
      <c r="W36" s="4"/>
      <c r="X36" s="4"/>
      <c r="Y36" s="4"/>
      <c r="Z36" s="4"/>
      <c r="AA36" s="4"/>
      <c r="AB36" s="4"/>
      <c r="AC36" s="4"/>
      <c r="AD36" s="4"/>
      <c r="AE36" s="4"/>
    </row>
    <row r="37" spans="16:31" x14ac:dyDescent="0.25">
      <c r="Q37" s="4"/>
      <c r="R37" s="4"/>
      <c r="S37" s="4"/>
      <c r="T37" s="4"/>
      <c r="U37" s="4"/>
      <c r="V37" s="4"/>
      <c r="W37" s="4"/>
      <c r="X37" s="4"/>
      <c r="Y37" s="4"/>
      <c r="Z37" s="4"/>
      <c r="AA37" s="4"/>
      <c r="AB37" s="4"/>
      <c r="AC37" s="4"/>
      <c r="AD37" s="4"/>
    </row>
    <row r="38" spans="16:31" x14ac:dyDescent="0.25">
      <c r="Q38" s="4"/>
      <c r="R38" s="4"/>
      <c r="S38" s="4"/>
      <c r="T38" s="4"/>
      <c r="U38" s="4"/>
      <c r="V38" s="4"/>
      <c r="W38" s="4"/>
      <c r="X38" s="4"/>
      <c r="Y38" s="4"/>
      <c r="Z38" s="4"/>
      <c r="AA38" s="4"/>
      <c r="AB38" s="4"/>
      <c r="AC38" s="4"/>
    </row>
    <row r="39" spans="16:31" x14ac:dyDescent="0.25">
      <c r="Q39" s="4"/>
      <c r="R39" s="4"/>
      <c r="S39" s="4"/>
      <c r="T39" s="4"/>
      <c r="U39" s="4"/>
      <c r="V39" s="4"/>
      <c r="W39" s="4"/>
      <c r="X39" s="4"/>
      <c r="Y39" s="4"/>
      <c r="Z39" s="4"/>
      <c r="AA39" s="4"/>
      <c r="AB39" s="4"/>
      <c r="AC39" s="4"/>
      <c r="AD39" s="4"/>
      <c r="AE39" s="4"/>
    </row>
    <row r="40" spans="16:31" x14ac:dyDescent="0.25">
      <c r="Q40" s="4"/>
      <c r="R40" s="4"/>
      <c r="S40" s="4"/>
      <c r="T40" s="4"/>
      <c r="U40" s="4"/>
      <c r="V40" s="4"/>
      <c r="W40" s="4"/>
      <c r="X40" s="4"/>
      <c r="Y40" s="4"/>
      <c r="Z40" s="4"/>
      <c r="AA40" s="4"/>
      <c r="AB40" s="4"/>
      <c r="AC40" s="4"/>
      <c r="AD40" s="4"/>
      <c r="AE40" s="4"/>
    </row>
    <row r="41" spans="16:31" x14ac:dyDescent="0.25">
      <c r="Q41" s="4"/>
      <c r="R41" s="4"/>
      <c r="S41" s="4"/>
      <c r="T41" s="4"/>
      <c r="U41" s="4"/>
      <c r="V41" s="4"/>
      <c r="W41" s="4"/>
      <c r="X41" s="4"/>
      <c r="Y41" s="4"/>
      <c r="Z41" s="4"/>
      <c r="AA41" s="4"/>
      <c r="AB41" s="4"/>
      <c r="AC41" s="4"/>
      <c r="AD41" s="4"/>
      <c r="AE41" s="4"/>
    </row>
    <row r="42" spans="16:31" x14ac:dyDescent="0.25">
      <c r="Q42" s="4"/>
      <c r="R42" s="4"/>
      <c r="S42" s="4"/>
      <c r="T42" s="4"/>
      <c r="U42" s="4"/>
      <c r="V42" s="4"/>
      <c r="W42" s="4"/>
      <c r="X42" s="4"/>
      <c r="Y42" s="4"/>
      <c r="Z42" s="4"/>
      <c r="AA42" s="4"/>
      <c r="AB42" s="4"/>
      <c r="AC42" s="4"/>
      <c r="AD42" s="4"/>
      <c r="AE42" s="4"/>
    </row>
    <row r="43" spans="16:31" x14ac:dyDescent="0.25">
      <c r="Q43" s="4"/>
      <c r="R43" s="4"/>
      <c r="S43" s="4"/>
      <c r="T43" s="4"/>
      <c r="U43" s="4"/>
      <c r="V43" s="4"/>
      <c r="W43" s="4"/>
      <c r="X43" s="4"/>
      <c r="Y43" s="4"/>
      <c r="Z43" s="4"/>
      <c r="AA43" s="4"/>
      <c r="AB43" s="4"/>
      <c r="AC43" s="4"/>
      <c r="AD43" s="4"/>
      <c r="AE43" s="4"/>
    </row>
    <row r="44" spans="16:31" x14ac:dyDescent="0.25">
      <c r="Q44" s="4"/>
      <c r="R44" s="4"/>
      <c r="S44" s="4"/>
      <c r="T44" s="4"/>
      <c r="U44" s="4"/>
      <c r="V44" s="4"/>
      <c r="W44" s="4"/>
      <c r="X44" s="4"/>
      <c r="Y44" s="4"/>
      <c r="Z44" s="4"/>
      <c r="AA44" s="4"/>
      <c r="AB44" s="4"/>
      <c r="AC44" s="4"/>
      <c r="AD44" s="4"/>
      <c r="AE44" s="4"/>
    </row>
    <row r="45" spans="16:31" x14ac:dyDescent="0.25">
      <c r="Q45" s="4"/>
      <c r="R45" s="4"/>
      <c r="S45" s="4"/>
      <c r="T45" s="4"/>
      <c r="U45" s="4"/>
      <c r="V45" s="4"/>
      <c r="W45" s="4"/>
      <c r="X45" s="4"/>
      <c r="Y45" s="4"/>
      <c r="Z45" s="4"/>
      <c r="AA45" s="4"/>
      <c r="AB45" s="4"/>
      <c r="AC45" s="4"/>
      <c r="AD45" s="4"/>
      <c r="AE45" s="4"/>
    </row>
    <row r="46" spans="16:31" x14ac:dyDescent="0.25">
      <c r="Q46" s="4"/>
      <c r="R46" s="4"/>
      <c r="S46" s="4"/>
      <c r="T46" s="4"/>
      <c r="U46" s="4"/>
      <c r="V46" s="4"/>
      <c r="W46" s="4"/>
      <c r="X46" s="4"/>
      <c r="Y46" s="4"/>
      <c r="Z46" s="4"/>
      <c r="AA46" s="4"/>
      <c r="AB46" s="4"/>
      <c r="AC46" s="4"/>
      <c r="AD46" s="4"/>
      <c r="AE46" s="4"/>
    </row>
    <row r="47" spans="16:31" x14ac:dyDescent="0.25">
      <c r="Q47" s="4"/>
      <c r="R47" s="4"/>
      <c r="S47" s="4"/>
      <c r="T47" s="4"/>
      <c r="U47" s="4"/>
      <c r="V47" s="4"/>
      <c r="W47" s="4"/>
      <c r="X47" s="4"/>
      <c r="Y47" s="4"/>
      <c r="Z47" s="4"/>
      <c r="AA47" s="4"/>
      <c r="AB47" s="4"/>
      <c r="AC47" s="4"/>
      <c r="AD47" s="4"/>
      <c r="AE47" s="4"/>
    </row>
    <row r="48" spans="16:31" x14ac:dyDescent="0.25">
      <c r="Q48" s="4"/>
      <c r="R48" s="4"/>
      <c r="S48" s="4"/>
      <c r="T48" s="4"/>
      <c r="U48" s="4"/>
      <c r="V48" s="4"/>
      <c r="W48" s="4"/>
      <c r="X48" s="4"/>
      <c r="Y48" s="4"/>
      <c r="Z48" s="4"/>
      <c r="AA48" s="4"/>
      <c r="AB48" s="4"/>
      <c r="AC48" s="4"/>
      <c r="AD48" s="4"/>
      <c r="AE48" s="4"/>
    </row>
    <row r="49" spans="17:31" x14ac:dyDescent="0.25">
      <c r="Q49" s="4"/>
      <c r="R49" s="4"/>
      <c r="S49" s="4"/>
      <c r="T49" s="4"/>
      <c r="U49" s="4"/>
      <c r="V49" s="4"/>
      <c r="W49" s="4"/>
      <c r="X49" s="4"/>
      <c r="Y49" s="4"/>
      <c r="Z49" s="4"/>
      <c r="AA49" s="4"/>
      <c r="AB49" s="4"/>
      <c r="AC49" s="4"/>
      <c r="AD49" s="4"/>
      <c r="AE49" s="4"/>
    </row>
    <row r="50" spans="17:31" x14ac:dyDescent="0.25">
      <c r="Q50" s="4"/>
      <c r="R50" s="4"/>
      <c r="S50" s="4"/>
      <c r="T50" s="4"/>
      <c r="U50" s="4"/>
      <c r="V50" s="4"/>
      <c r="W50" s="4"/>
      <c r="X50" s="4"/>
      <c r="Y50" s="4"/>
      <c r="Z50" s="4"/>
      <c r="AA50" s="4"/>
      <c r="AB50" s="4"/>
      <c r="AC50" s="4"/>
      <c r="AD50" s="4"/>
      <c r="AE50" s="4"/>
    </row>
    <row r="51" spans="17:31" x14ac:dyDescent="0.25">
      <c r="Q51" s="4"/>
      <c r="R51" s="4"/>
      <c r="S51" s="4"/>
      <c r="T51" s="4"/>
      <c r="U51" s="4"/>
      <c r="V51" s="4"/>
      <c r="W51" s="4"/>
      <c r="X51" s="4"/>
      <c r="Y51" s="4"/>
      <c r="Z51" s="4"/>
      <c r="AA51" s="4"/>
      <c r="AB51" s="4"/>
      <c r="AC51" s="4"/>
      <c r="AD51" s="4"/>
      <c r="AE51" s="4"/>
    </row>
    <row r="52" spans="17:31" x14ac:dyDescent="0.25">
      <c r="Q52" s="4"/>
      <c r="R52" s="4"/>
      <c r="S52" s="4"/>
      <c r="T52" s="4"/>
      <c r="U52" s="4"/>
      <c r="V52" s="4"/>
      <c r="W52" s="4"/>
      <c r="X52" s="4"/>
      <c r="Y52" s="4"/>
      <c r="Z52" s="4"/>
      <c r="AA52" s="4"/>
      <c r="AB52" s="4"/>
      <c r="AC52" s="4"/>
      <c r="AD52" s="4"/>
      <c r="AE52" s="4"/>
    </row>
    <row r="53" spans="17:31" x14ac:dyDescent="0.25">
      <c r="Q53" s="4"/>
      <c r="R53" s="4"/>
      <c r="S53" s="4"/>
      <c r="T53" s="4"/>
      <c r="U53" s="4"/>
      <c r="V53" s="4"/>
      <c r="W53" s="4"/>
      <c r="X53" s="4"/>
      <c r="Y53" s="4"/>
      <c r="Z53" s="4"/>
      <c r="AA53" s="4"/>
      <c r="AB53" s="4"/>
      <c r="AC53" s="4"/>
      <c r="AD53" s="4"/>
      <c r="AE53" s="4"/>
    </row>
    <row r="54" spans="17:31" x14ac:dyDescent="0.25">
      <c r="Q54" s="4"/>
      <c r="R54" s="4"/>
      <c r="S54" s="4"/>
      <c r="T54" s="4"/>
      <c r="U54" s="4"/>
      <c r="V54" s="4"/>
      <c r="W54" s="4"/>
      <c r="X54" s="4"/>
      <c r="Y54" s="4"/>
      <c r="Z54" s="4"/>
      <c r="AA54" s="4"/>
      <c r="AB54" s="4"/>
      <c r="AC54" s="4"/>
      <c r="AD54" s="4"/>
      <c r="AE54" s="4"/>
    </row>
    <row r="55" spans="17:31" x14ac:dyDescent="0.25">
      <c r="Q55" s="4"/>
      <c r="R55" s="4"/>
      <c r="S55" s="4"/>
      <c r="T55" s="4"/>
      <c r="U55" s="4"/>
      <c r="V55" s="4"/>
      <c r="W55" s="4"/>
      <c r="X55" s="4"/>
      <c r="Y55" s="4"/>
      <c r="Z55" s="4"/>
      <c r="AA55" s="4"/>
      <c r="AB55" s="4"/>
      <c r="AC55" s="4"/>
      <c r="AD55" s="4"/>
      <c r="AE55" s="4"/>
    </row>
    <row r="56" spans="17:31" x14ac:dyDescent="0.25">
      <c r="Q56" s="4"/>
      <c r="R56" s="4"/>
      <c r="S56" s="4"/>
      <c r="T56" s="4"/>
      <c r="U56" s="4"/>
      <c r="V56" s="4"/>
      <c r="W56" s="4"/>
      <c r="X56" s="4"/>
      <c r="Y56" s="4"/>
      <c r="Z56" s="4"/>
      <c r="AA56" s="4"/>
      <c r="AB56" s="4"/>
      <c r="AC56" s="4"/>
      <c r="AD56" s="4"/>
      <c r="AE56" s="4"/>
    </row>
    <row r="57" spans="17:31" x14ac:dyDescent="0.25">
      <c r="Q57" s="4"/>
      <c r="R57" s="4"/>
      <c r="S57" s="4"/>
      <c r="T57" s="4"/>
      <c r="U57" s="4"/>
      <c r="V57" s="4"/>
      <c r="W57" s="4"/>
      <c r="X57" s="4"/>
      <c r="Y57" s="4"/>
      <c r="Z57" s="4"/>
      <c r="AA57" s="4"/>
      <c r="AB57" s="4"/>
      <c r="AC57" s="4"/>
      <c r="AD57" s="4"/>
      <c r="AE57" s="4"/>
    </row>
    <row r="58" spans="17:31" x14ac:dyDescent="0.25">
      <c r="Q58" s="4"/>
      <c r="R58" s="4"/>
      <c r="S58" s="4"/>
      <c r="T58" s="4"/>
      <c r="U58" s="4"/>
      <c r="V58" s="4"/>
      <c r="W58" s="4"/>
      <c r="X58" s="4"/>
      <c r="Y58" s="4"/>
      <c r="Z58" s="4"/>
      <c r="AA58" s="4"/>
      <c r="AB58" s="4"/>
      <c r="AC58" s="4"/>
      <c r="AD58" s="4"/>
      <c r="AE58" s="4"/>
    </row>
    <row r="59" spans="17:31" x14ac:dyDescent="0.25">
      <c r="Q59" s="4"/>
      <c r="R59" s="4"/>
      <c r="S59" s="4"/>
      <c r="T59" s="4"/>
      <c r="U59" s="4"/>
      <c r="V59" s="4"/>
      <c r="W59" s="4"/>
      <c r="X59" s="4"/>
      <c r="Y59" s="4"/>
      <c r="Z59" s="4"/>
      <c r="AA59" s="4"/>
      <c r="AB59" s="4"/>
      <c r="AC59" s="4"/>
      <c r="AD59" s="4"/>
      <c r="AE59" s="4"/>
    </row>
    <row r="60" spans="17:31" x14ac:dyDescent="0.25">
      <c r="Q60" s="4"/>
      <c r="R60" s="4"/>
      <c r="S60" s="4"/>
      <c r="T60" s="4"/>
      <c r="U60" s="4"/>
      <c r="V60" s="4"/>
      <c r="W60" s="4"/>
      <c r="X60" s="4"/>
      <c r="Y60" s="4"/>
      <c r="Z60" s="4"/>
      <c r="AA60" s="4"/>
      <c r="AB60" s="4"/>
      <c r="AC60" s="4"/>
      <c r="AD60" s="4"/>
      <c r="AE60" s="4"/>
    </row>
    <row r="61" spans="17:31" x14ac:dyDescent="0.25">
      <c r="Q61" s="4"/>
      <c r="R61" s="4"/>
      <c r="S61" s="4"/>
      <c r="T61" s="4"/>
      <c r="U61" s="4"/>
      <c r="V61" s="4"/>
      <c r="W61" s="4"/>
      <c r="X61" s="4"/>
      <c r="Y61" s="4"/>
      <c r="Z61" s="4"/>
      <c r="AA61" s="4"/>
      <c r="AB61" s="4"/>
      <c r="AC61" s="4"/>
      <c r="AD61" s="4"/>
      <c r="AE61" s="4"/>
    </row>
    <row r="62" spans="17:31" x14ac:dyDescent="0.25">
      <c r="Q62" s="4"/>
      <c r="R62" s="4"/>
      <c r="S62" s="4"/>
      <c r="T62" s="4"/>
      <c r="U62" s="4"/>
      <c r="V62" s="4"/>
      <c r="W62" s="4"/>
      <c r="X62" s="4"/>
      <c r="Y62" s="4"/>
      <c r="Z62" s="4"/>
      <c r="AA62" s="4"/>
      <c r="AB62" s="4"/>
      <c r="AC62" s="4"/>
      <c r="AD62" s="4"/>
      <c r="AE62" s="4"/>
    </row>
    <row r="63" spans="17:31" x14ac:dyDescent="0.25">
      <c r="Q63" s="4"/>
      <c r="R63" s="4"/>
      <c r="S63" s="4"/>
      <c r="T63" s="4"/>
      <c r="U63" s="4"/>
      <c r="V63" s="4"/>
      <c r="W63" s="4"/>
      <c r="X63" s="4"/>
      <c r="Y63" s="4"/>
      <c r="Z63" s="4"/>
      <c r="AA63" s="4"/>
      <c r="AB63" s="4"/>
      <c r="AC63" s="4"/>
      <c r="AD63" s="4"/>
      <c r="AE63" s="4"/>
    </row>
    <row r="64" spans="17:31" x14ac:dyDescent="0.25">
      <c r="Q64" s="4"/>
      <c r="R64" s="4"/>
      <c r="S64" s="4"/>
      <c r="T64" s="4"/>
      <c r="U64" s="4"/>
      <c r="V64" s="4"/>
      <c r="W64" s="4"/>
      <c r="X64" s="4"/>
      <c r="Y64" s="4"/>
      <c r="Z64" s="4"/>
      <c r="AA64" s="4"/>
      <c r="AB64" s="4"/>
      <c r="AC64" s="4"/>
      <c r="AD64" s="4"/>
      <c r="AE64" s="4"/>
    </row>
    <row r="65" spans="17:31" x14ac:dyDescent="0.25">
      <c r="Q65" s="4"/>
      <c r="R65" s="4"/>
      <c r="S65" s="4"/>
      <c r="T65" s="4"/>
      <c r="U65" s="4"/>
      <c r="V65" s="4"/>
      <c r="W65" s="4"/>
      <c r="X65" s="4"/>
      <c r="Y65" s="4"/>
      <c r="Z65" s="4"/>
      <c r="AA65" s="4"/>
      <c r="AB65" s="4"/>
      <c r="AC65" s="4"/>
      <c r="AD65" s="4"/>
      <c r="AE65" s="4"/>
    </row>
    <row r="66" spans="17:31" x14ac:dyDescent="0.25">
      <c r="Q66" s="4"/>
      <c r="R66" s="4"/>
      <c r="S66" s="4"/>
      <c r="T66" s="4"/>
      <c r="U66" s="4"/>
      <c r="V66" s="4"/>
      <c r="W66" s="4"/>
      <c r="X66" s="4"/>
      <c r="Y66" s="4"/>
      <c r="Z66" s="4"/>
      <c r="AA66" s="4"/>
      <c r="AB66" s="4"/>
      <c r="AC66" s="4"/>
      <c r="AD66" s="4"/>
      <c r="AE66" s="4"/>
    </row>
    <row r="67" spans="17:31" x14ac:dyDescent="0.25">
      <c r="Q67" s="4"/>
      <c r="R67" s="4"/>
      <c r="S67" s="4"/>
      <c r="T67" s="4"/>
      <c r="U67" s="4"/>
      <c r="V67" s="4"/>
      <c r="W67" s="4"/>
      <c r="X67" s="4"/>
      <c r="Y67" s="4"/>
      <c r="Z67" s="4"/>
      <c r="AA67" s="4"/>
      <c r="AB67" s="4"/>
      <c r="AC67" s="4"/>
      <c r="AD67" s="4"/>
      <c r="AE67" s="4"/>
    </row>
    <row r="68" spans="17:31" x14ac:dyDescent="0.25">
      <c r="Q68" s="4"/>
      <c r="R68" s="4"/>
      <c r="S68" s="4"/>
      <c r="T68" s="4"/>
      <c r="U68" s="4"/>
      <c r="V68" s="4"/>
      <c r="W68" s="4"/>
      <c r="X68" s="4"/>
      <c r="Y68" s="4"/>
      <c r="Z68" s="4"/>
      <c r="AA68" s="4"/>
      <c r="AB68" s="4"/>
      <c r="AC68" s="4"/>
      <c r="AD68" s="4"/>
      <c r="AE68" s="4"/>
    </row>
    <row r="69" spans="17:31" x14ac:dyDescent="0.25">
      <c r="Q69" s="4"/>
      <c r="R69" s="4"/>
      <c r="S69" s="4"/>
      <c r="T69" s="4"/>
      <c r="U69" s="4"/>
      <c r="V69" s="4"/>
      <c r="W69" s="4"/>
      <c r="X69" s="4"/>
      <c r="Y69" s="4"/>
      <c r="Z69" s="4"/>
      <c r="AA69" s="4"/>
      <c r="AB69" s="4"/>
      <c r="AC69" s="4"/>
      <c r="AD69" s="4"/>
      <c r="AE69" s="4"/>
    </row>
    <row r="70" spans="17:31" x14ac:dyDescent="0.25">
      <c r="Q70" s="4"/>
      <c r="R70" s="4"/>
      <c r="S70" s="4"/>
      <c r="T70" s="4"/>
      <c r="U70" s="4"/>
      <c r="V70" s="4"/>
      <c r="W70" s="4"/>
      <c r="X70" s="4"/>
      <c r="Y70" s="4"/>
      <c r="Z70" s="4"/>
      <c r="AA70" s="4"/>
      <c r="AB70" s="4"/>
      <c r="AC70" s="4"/>
      <c r="AD70" s="4"/>
      <c r="AE70" s="4"/>
    </row>
    <row r="71" spans="17:31" x14ac:dyDescent="0.25">
      <c r="Q71" s="4"/>
      <c r="R71" s="4"/>
      <c r="S71" s="4"/>
      <c r="T71" s="4"/>
      <c r="U71" s="4"/>
      <c r="V71" s="4"/>
      <c r="W71" s="4"/>
      <c r="X71" s="4"/>
      <c r="Y71" s="4"/>
      <c r="Z71" s="4"/>
      <c r="AA71" s="4"/>
      <c r="AB71" s="4"/>
      <c r="AC71" s="4"/>
      <c r="AD71" s="4"/>
      <c r="AE71" s="4"/>
    </row>
    <row r="72" spans="17:31" x14ac:dyDescent="0.25">
      <c r="Q72" s="4"/>
      <c r="R72" s="4"/>
      <c r="S72" s="4"/>
      <c r="T72" s="4"/>
      <c r="U72" s="4"/>
      <c r="V72" s="4"/>
      <c r="W72" s="4"/>
      <c r="X72" s="4"/>
      <c r="Y72" s="4"/>
      <c r="Z72" s="4"/>
      <c r="AA72" s="4"/>
      <c r="AB72" s="4"/>
      <c r="AC72" s="4"/>
      <c r="AD72" s="4"/>
      <c r="AE72" s="4"/>
    </row>
    <row r="73" spans="17:31" x14ac:dyDescent="0.25">
      <c r="Q73" s="4"/>
      <c r="R73" s="4"/>
      <c r="S73" s="4"/>
      <c r="T73" s="4"/>
      <c r="U73" s="4"/>
      <c r="V73" s="4"/>
      <c r="W73" s="4"/>
      <c r="X73" s="4"/>
      <c r="Y73" s="4"/>
      <c r="Z73" s="4"/>
      <c r="AA73" s="4"/>
      <c r="AB73" s="4"/>
      <c r="AC73" s="4"/>
      <c r="AD73" s="4"/>
      <c r="AE73" s="4"/>
    </row>
    <row r="74" spans="17:31" x14ac:dyDescent="0.25">
      <c r="Q74" s="4"/>
      <c r="R74" s="4"/>
      <c r="S74" s="4"/>
      <c r="T74" s="4"/>
      <c r="U74" s="4"/>
      <c r="V74" s="4"/>
      <c r="W74" s="4"/>
      <c r="X74" s="4"/>
      <c r="Y74" s="4"/>
      <c r="Z74" s="4"/>
      <c r="AA74" s="4"/>
      <c r="AB74" s="4"/>
      <c r="AC74" s="4"/>
      <c r="AD74" s="4"/>
      <c r="AE74" s="4"/>
    </row>
    <row r="75" spans="17:31" x14ac:dyDescent="0.25">
      <c r="Q75" s="4"/>
      <c r="R75" s="4"/>
      <c r="S75" s="4"/>
      <c r="T75" s="4"/>
      <c r="U75" s="4"/>
      <c r="V75" s="4"/>
      <c r="W75" s="4"/>
      <c r="X75" s="4"/>
      <c r="Y75" s="4"/>
      <c r="Z75" s="4"/>
      <c r="AA75" s="4"/>
      <c r="AB75" s="4"/>
      <c r="AC75" s="4"/>
      <c r="AD75" s="4"/>
      <c r="AE75" s="4"/>
    </row>
    <row r="76" spans="17:31" x14ac:dyDescent="0.25">
      <c r="Q76" s="4"/>
      <c r="R76" s="4"/>
      <c r="S76" s="4"/>
      <c r="T76" s="4"/>
      <c r="U76" s="4"/>
      <c r="V76" s="4"/>
      <c r="W76" s="4"/>
      <c r="X76" s="4"/>
      <c r="Y76" s="4"/>
      <c r="Z76" s="4"/>
      <c r="AA76" s="4"/>
      <c r="AB76" s="4"/>
      <c r="AC76" s="4"/>
      <c r="AD76" s="4"/>
      <c r="AE76" s="4"/>
    </row>
    <row r="77" spans="17:31" x14ac:dyDescent="0.25">
      <c r="Q77" s="4"/>
      <c r="R77" s="4"/>
      <c r="S77" s="4"/>
      <c r="T77" s="4"/>
      <c r="U77" s="4"/>
      <c r="V77" s="4"/>
      <c r="W77" s="4"/>
      <c r="X77" s="4"/>
      <c r="Y77" s="4"/>
      <c r="Z77" s="4"/>
      <c r="AA77" s="4"/>
      <c r="AB77" s="4"/>
      <c r="AC77" s="4"/>
      <c r="AD77" s="4"/>
      <c r="AE77" s="4"/>
    </row>
    <row r="78" spans="17:31" x14ac:dyDescent="0.25">
      <c r="Q78" s="4"/>
      <c r="R78" s="4"/>
      <c r="S78" s="4"/>
      <c r="T78" s="4"/>
      <c r="U78" s="4"/>
      <c r="V78" s="4"/>
      <c r="W78" s="4"/>
      <c r="X78" s="4"/>
      <c r="Y78" s="4"/>
      <c r="Z78" s="4"/>
      <c r="AA78" s="4"/>
      <c r="AB78" s="4"/>
      <c r="AC78" s="4"/>
      <c r="AD78" s="4"/>
      <c r="AE78" s="4"/>
    </row>
    <row r="79" spans="17:31" x14ac:dyDescent="0.25">
      <c r="Q79" s="4"/>
      <c r="R79" s="4"/>
      <c r="S79" s="4"/>
      <c r="T79" s="4"/>
      <c r="U79" s="4"/>
      <c r="V79" s="4"/>
      <c r="W79" s="4"/>
      <c r="X79" s="4"/>
      <c r="Y79" s="4"/>
      <c r="Z79" s="4"/>
      <c r="AA79" s="4"/>
      <c r="AB79" s="4"/>
      <c r="AC79" s="4"/>
      <c r="AD79" s="4"/>
      <c r="AE79" s="4"/>
    </row>
    <row r="80" spans="17:31" x14ac:dyDescent="0.25">
      <c r="Q80" s="4"/>
      <c r="R80" s="4"/>
      <c r="S80" s="4"/>
      <c r="T80" s="4"/>
      <c r="U80" s="4"/>
      <c r="V80" s="4"/>
      <c r="W80" s="4"/>
      <c r="X80" s="4"/>
      <c r="Y80" s="4"/>
      <c r="Z80" s="4"/>
      <c r="AA80" s="4"/>
      <c r="AB80" s="4"/>
      <c r="AC80" s="4"/>
      <c r="AD80" s="4"/>
      <c r="AE80" s="4"/>
    </row>
    <row r="81" spans="17:31" x14ac:dyDescent="0.25">
      <c r="Q81" s="4"/>
      <c r="R81" s="4"/>
      <c r="S81" s="4"/>
      <c r="T81" s="4"/>
      <c r="U81" s="4"/>
      <c r="V81" s="4"/>
      <c r="W81" s="4"/>
      <c r="X81" s="4"/>
      <c r="Y81" s="4"/>
      <c r="Z81" s="4"/>
      <c r="AA81" s="4"/>
      <c r="AB81" s="4"/>
      <c r="AC81" s="4"/>
      <c r="AD81" s="4"/>
      <c r="AE81" s="4"/>
    </row>
    <row r="82" spans="17:31" x14ac:dyDescent="0.25">
      <c r="Q82" s="4"/>
      <c r="R82" s="4"/>
      <c r="S82" s="4"/>
      <c r="T82" s="4"/>
      <c r="U82" s="4"/>
      <c r="V82" s="4"/>
      <c r="W82" s="4"/>
      <c r="X82" s="4"/>
      <c r="Y82" s="4"/>
      <c r="Z82" s="4"/>
      <c r="AA82" s="4"/>
      <c r="AB82" s="4"/>
      <c r="AC82" s="4"/>
      <c r="AD82" s="4"/>
      <c r="AE82" s="4"/>
    </row>
    <row r="83" spans="17:31" x14ac:dyDescent="0.25">
      <c r="Q83" s="4"/>
      <c r="R83" s="4"/>
      <c r="S83" s="4"/>
      <c r="T83" s="4"/>
      <c r="U83" s="4"/>
      <c r="V83" s="4"/>
      <c r="W83" s="4"/>
      <c r="X83" s="4"/>
      <c r="Y83" s="4"/>
      <c r="Z83" s="4"/>
      <c r="AA83" s="4"/>
      <c r="AB83" s="4"/>
      <c r="AC83" s="4"/>
      <c r="AD83" s="4"/>
      <c r="AE83" s="4"/>
    </row>
    <row r="84" spans="17:31" x14ac:dyDescent="0.25">
      <c r="Q84" s="4"/>
      <c r="R84" s="4"/>
      <c r="S84" s="4"/>
      <c r="T84" s="4"/>
      <c r="U84" s="4"/>
      <c r="V84" s="4"/>
      <c r="W84" s="4"/>
      <c r="X84" s="4"/>
      <c r="Y84" s="4"/>
      <c r="Z84" s="4"/>
      <c r="AA84" s="4"/>
      <c r="AB84" s="4"/>
      <c r="AC84" s="4"/>
      <c r="AD84" s="4"/>
      <c r="AE84" s="4"/>
    </row>
    <row r="85" spans="17:31" x14ac:dyDescent="0.25">
      <c r="Q85" s="4"/>
      <c r="R85" s="4"/>
      <c r="S85" s="4"/>
      <c r="T85" s="4"/>
      <c r="U85" s="4"/>
      <c r="V85" s="4"/>
      <c r="W85" s="4"/>
      <c r="X85" s="4"/>
      <c r="Y85" s="4"/>
      <c r="Z85" s="4"/>
      <c r="AA85" s="4"/>
      <c r="AB85" s="4"/>
      <c r="AC85" s="4"/>
      <c r="AD85" s="4"/>
      <c r="AE85" s="4"/>
    </row>
    <row r="86" spans="17:31" x14ac:dyDescent="0.25">
      <c r="Q86" s="4"/>
      <c r="R86" s="4"/>
      <c r="S86" s="4"/>
      <c r="T86" s="4"/>
      <c r="U86" s="4"/>
      <c r="V86" s="4"/>
      <c r="W86" s="4"/>
      <c r="X86" s="4"/>
      <c r="Y86" s="4"/>
      <c r="Z86" s="4"/>
      <c r="AA86" s="4"/>
      <c r="AB86" s="4"/>
      <c r="AC86" s="4"/>
      <c r="AD86" s="4"/>
      <c r="AE86" s="4"/>
    </row>
    <row r="87" spans="17:31" x14ac:dyDescent="0.25">
      <c r="Q87" s="4"/>
      <c r="R87" s="4"/>
      <c r="S87" s="4"/>
      <c r="T87" s="4"/>
      <c r="U87" s="4"/>
      <c r="V87" s="4"/>
      <c r="W87" s="4"/>
      <c r="X87" s="4"/>
      <c r="Y87" s="4"/>
      <c r="Z87" s="4"/>
      <c r="AA87" s="4"/>
      <c r="AB87" s="4"/>
      <c r="AC87" s="4"/>
      <c r="AD87" s="4"/>
      <c r="AE87" s="4"/>
    </row>
    <row r="88" spans="17:31" x14ac:dyDescent="0.25">
      <c r="Q88" s="4"/>
      <c r="R88" s="4"/>
      <c r="S88" s="4"/>
      <c r="T88" s="4"/>
      <c r="U88" s="4"/>
      <c r="V88" s="4"/>
      <c r="W88" s="4"/>
      <c r="X88" s="4"/>
      <c r="Y88" s="4"/>
      <c r="Z88" s="4"/>
      <c r="AA88" s="4"/>
      <c r="AB88" s="4"/>
      <c r="AC88" s="4"/>
      <c r="AD88" s="4"/>
      <c r="AE88" s="4"/>
    </row>
    <row r="89" spans="17:31" x14ac:dyDescent="0.25">
      <c r="Q89" s="4"/>
      <c r="R89" s="4"/>
      <c r="S89" s="4"/>
      <c r="T89" s="4"/>
      <c r="U89" s="4"/>
      <c r="V89" s="4"/>
      <c r="W89" s="4"/>
      <c r="X89" s="4"/>
      <c r="Y89" s="4"/>
      <c r="Z89" s="4"/>
      <c r="AA89" s="4"/>
      <c r="AB89" s="4"/>
      <c r="AC89" s="4"/>
      <c r="AD89" s="4"/>
      <c r="AE89" s="4"/>
    </row>
    <row r="90" spans="17:31" x14ac:dyDescent="0.25">
      <c r="Q90" s="4"/>
      <c r="R90" s="4"/>
      <c r="S90" s="4"/>
      <c r="T90" s="4"/>
      <c r="U90" s="4"/>
      <c r="V90" s="4"/>
      <c r="W90" s="4"/>
      <c r="X90" s="4"/>
      <c r="Y90" s="4"/>
      <c r="Z90" s="4"/>
      <c r="AA90" s="4"/>
      <c r="AB90" s="4"/>
      <c r="AC90" s="4"/>
      <c r="AD90" s="4"/>
      <c r="AE90" s="4"/>
    </row>
    <row r="91" spans="17:31" x14ac:dyDescent="0.25">
      <c r="Q91" s="4"/>
      <c r="R91" s="4"/>
      <c r="S91" s="4"/>
      <c r="T91" s="4"/>
      <c r="U91" s="4"/>
      <c r="V91" s="4"/>
      <c r="W91" s="4"/>
      <c r="X91" s="4"/>
      <c r="Y91" s="4"/>
      <c r="Z91" s="4"/>
      <c r="AA91" s="4"/>
      <c r="AB91" s="4"/>
      <c r="AC91" s="4"/>
      <c r="AD91" s="4"/>
      <c r="AE91" s="4"/>
    </row>
    <row r="92" spans="17:31" x14ac:dyDescent="0.25">
      <c r="Q92" s="4"/>
      <c r="R92" s="4"/>
      <c r="S92" s="4"/>
      <c r="T92" s="4"/>
      <c r="U92" s="4"/>
      <c r="V92" s="4"/>
      <c r="W92" s="4"/>
      <c r="X92" s="4"/>
      <c r="Y92" s="4"/>
      <c r="Z92" s="4"/>
      <c r="AA92" s="4"/>
      <c r="AB92" s="4"/>
      <c r="AC92" s="4"/>
      <c r="AD92" s="4"/>
      <c r="AE92" s="4"/>
    </row>
    <row r="93" spans="17:31" x14ac:dyDescent="0.25">
      <c r="Q93" s="4"/>
      <c r="R93" s="4"/>
      <c r="S93" s="4"/>
      <c r="T93" s="4"/>
      <c r="U93" s="4"/>
      <c r="V93" s="4"/>
      <c r="W93" s="4"/>
      <c r="X93" s="4"/>
      <c r="Y93" s="4"/>
      <c r="Z93" s="4"/>
      <c r="AA93" s="4"/>
      <c r="AB93" s="4"/>
      <c r="AC93" s="4"/>
      <c r="AD93" s="4"/>
      <c r="AE93" s="4"/>
    </row>
    <row r="94" spans="17:31" x14ac:dyDescent="0.25">
      <c r="Q94" s="4"/>
      <c r="R94" s="4"/>
      <c r="S94" s="4"/>
      <c r="T94" s="4"/>
      <c r="U94" s="4"/>
      <c r="V94" s="4"/>
      <c r="W94" s="4"/>
      <c r="X94" s="4"/>
      <c r="Y94" s="4"/>
      <c r="Z94" s="4"/>
      <c r="AA94" s="4"/>
      <c r="AB94" s="4"/>
      <c r="AC94" s="4"/>
      <c r="AD94" s="4"/>
      <c r="AE94" s="4"/>
    </row>
    <row r="95" spans="17:31" x14ac:dyDescent="0.25">
      <c r="Q95" s="4"/>
      <c r="R95" s="4"/>
      <c r="S95" s="4"/>
      <c r="T95" s="4"/>
      <c r="U95" s="4"/>
      <c r="V95" s="4"/>
      <c r="W95" s="4"/>
      <c r="X95" s="4"/>
      <c r="Y95" s="4"/>
      <c r="Z95" s="4"/>
      <c r="AA95" s="4"/>
      <c r="AB95" s="4"/>
      <c r="AC95" s="4"/>
      <c r="AD95" s="4"/>
      <c r="AE95" s="4"/>
    </row>
    <row r="96" spans="17:31" x14ac:dyDescent="0.25">
      <c r="Q96" s="4"/>
      <c r="R96" s="4"/>
      <c r="S96" s="4"/>
      <c r="T96" s="4"/>
      <c r="U96" s="4"/>
      <c r="V96" s="4"/>
      <c r="W96" s="4"/>
      <c r="X96" s="4"/>
      <c r="Y96" s="4"/>
      <c r="Z96" s="4"/>
      <c r="AA96" s="4"/>
      <c r="AB96" s="4"/>
      <c r="AC96" s="4"/>
      <c r="AD96" s="4"/>
      <c r="AE96" s="4"/>
    </row>
    <row r="97" spans="17:31" x14ac:dyDescent="0.25">
      <c r="Q97" s="4"/>
      <c r="R97" s="4"/>
      <c r="S97" s="4"/>
      <c r="T97" s="4"/>
      <c r="U97" s="4"/>
      <c r="V97" s="4"/>
      <c r="W97" s="4"/>
      <c r="X97" s="4"/>
      <c r="Y97" s="4"/>
      <c r="Z97" s="4"/>
      <c r="AA97" s="4"/>
      <c r="AB97" s="4"/>
      <c r="AC97" s="4"/>
      <c r="AD97" s="4"/>
      <c r="AE97" s="4"/>
    </row>
    <row r="98" spans="17:31" x14ac:dyDescent="0.25">
      <c r="Q98" s="4"/>
      <c r="R98" s="4"/>
      <c r="S98" s="4"/>
      <c r="T98" s="4"/>
      <c r="U98" s="4"/>
      <c r="V98" s="4"/>
      <c r="W98" s="4"/>
      <c r="X98" s="4"/>
      <c r="Y98" s="4"/>
      <c r="Z98" s="4"/>
      <c r="AA98" s="4"/>
      <c r="AB98" s="4"/>
      <c r="AC98" s="4"/>
      <c r="AD98" s="4"/>
      <c r="AE98" s="4"/>
    </row>
    <row r="99" spans="17:31" x14ac:dyDescent="0.25">
      <c r="Q99" s="4"/>
      <c r="R99" s="4"/>
      <c r="S99" s="4"/>
      <c r="T99" s="4"/>
      <c r="U99" s="4"/>
      <c r="V99" s="4"/>
      <c r="W99" s="4"/>
      <c r="X99" s="4"/>
      <c r="Y99" s="4"/>
      <c r="Z99" s="4"/>
      <c r="AA99" s="4"/>
      <c r="AB99" s="4"/>
      <c r="AC99" s="4"/>
      <c r="AD99" s="4"/>
      <c r="AE99" s="4"/>
    </row>
    <row r="100" spans="17:31" x14ac:dyDescent="0.25">
      <c r="Q100" s="4"/>
      <c r="R100" s="4"/>
      <c r="S100" s="4"/>
      <c r="T100" s="4"/>
      <c r="U100" s="4"/>
      <c r="V100" s="4"/>
      <c r="W100" s="4"/>
      <c r="X100" s="4"/>
      <c r="Y100" s="4"/>
      <c r="Z100" s="4"/>
      <c r="AA100" s="4"/>
      <c r="AB100" s="4"/>
      <c r="AC100" s="4"/>
      <c r="AD100" s="4"/>
      <c r="AE100" s="4"/>
    </row>
    <row r="101" spans="17:31" x14ac:dyDescent="0.25">
      <c r="Q101" s="4"/>
      <c r="R101" s="4"/>
      <c r="S101" s="4"/>
      <c r="T101" s="4"/>
      <c r="U101" s="4"/>
      <c r="V101" s="4"/>
      <c r="W101" s="4"/>
      <c r="X101" s="4"/>
      <c r="Y101" s="4"/>
      <c r="Z101" s="4"/>
      <c r="AA101" s="4"/>
      <c r="AB101" s="4"/>
      <c r="AC101" s="4"/>
      <c r="AD101" s="4"/>
      <c r="AE101" s="4"/>
    </row>
    <row r="102" spans="17:31" x14ac:dyDescent="0.25">
      <c r="Q102" s="4"/>
      <c r="R102" s="4"/>
      <c r="S102" s="4"/>
      <c r="T102" s="4"/>
      <c r="U102" s="4"/>
      <c r="V102" s="4"/>
      <c r="W102" s="4"/>
      <c r="X102" s="4"/>
      <c r="Y102" s="4"/>
      <c r="Z102" s="4"/>
      <c r="AA102" s="4"/>
      <c r="AB102" s="4"/>
      <c r="AC102" s="4"/>
      <c r="AD102" s="4"/>
      <c r="AE102" s="4"/>
    </row>
    <row r="103" spans="17:31" x14ac:dyDescent="0.25">
      <c r="Q103" s="4"/>
      <c r="R103" s="4"/>
      <c r="S103" s="4"/>
      <c r="T103" s="4"/>
      <c r="U103" s="4"/>
      <c r="V103" s="4"/>
      <c r="W103" s="4"/>
      <c r="X103" s="4"/>
      <c r="Y103" s="4"/>
      <c r="Z103" s="4"/>
      <c r="AA103" s="4"/>
      <c r="AB103" s="4"/>
      <c r="AC103" s="4"/>
      <c r="AD103" s="4"/>
      <c r="AE103" s="4"/>
    </row>
    <row r="104" spans="17:31" x14ac:dyDescent="0.25">
      <c r="Q104" s="4"/>
      <c r="R104" s="4"/>
      <c r="S104" s="4"/>
      <c r="T104" s="4"/>
      <c r="U104" s="4"/>
      <c r="V104" s="4"/>
      <c r="W104" s="4"/>
      <c r="X104" s="4"/>
      <c r="Y104" s="4"/>
      <c r="Z104" s="4"/>
      <c r="AA104" s="4"/>
      <c r="AB104" s="4"/>
      <c r="AC104" s="4"/>
      <c r="AD104" s="4"/>
      <c r="AE104" s="4"/>
    </row>
    <row r="105" spans="17:31" x14ac:dyDescent="0.25">
      <c r="Q105" s="4"/>
      <c r="R105" s="4"/>
      <c r="S105" s="4"/>
      <c r="T105" s="4"/>
      <c r="U105" s="4"/>
      <c r="V105" s="4"/>
      <c r="W105" s="4"/>
      <c r="X105" s="4"/>
      <c r="Y105" s="4"/>
      <c r="Z105" s="4"/>
      <c r="AA105" s="4"/>
      <c r="AB105" s="4"/>
      <c r="AC105" s="4"/>
      <c r="AD105" s="4"/>
      <c r="AE105" s="4"/>
    </row>
    <row r="106" spans="17:31" x14ac:dyDescent="0.25">
      <c r="Q106" s="4"/>
      <c r="R106" s="4"/>
      <c r="S106" s="4"/>
      <c r="T106" s="4"/>
      <c r="U106" s="4"/>
      <c r="V106" s="4"/>
      <c r="W106" s="4"/>
      <c r="X106" s="4"/>
      <c r="Y106" s="4"/>
      <c r="Z106" s="4"/>
      <c r="AA106" s="4"/>
      <c r="AB106" s="4"/>
      <c r="AC106" s="4"/>
      <c r="AD106" s="4"/>
      <c r="AE106" s="4"/>
    </row>
    <row r="107" spans="17:31" x14ac:dyDescent="0.25">
      <c r="Q107" s="4"/>
      <c r="R107" s="4"/>
      <c r="S107" s="4"/>
      <c r="T107" s="4"/>
      <c r="U107" s="4"/>
      <c r="V107" s="4"/>
      <c r="W107" s="4"/>
      <c r="X107" s="4"/>
      <c r="Y107" s="4"/>
      <c r="Z107" s="4"/>
      <c r="AA107" s="4"/>
      <c r="AB107" s="4"/>
      <c r="AC107" s="4"/>
      <c r="AD107" s="4"/>
      <c r="AE107" s="4"/>
    </row>
    <row r="108" spans="17:31" x14ac:dyDescent="0.25">
      <c r="Q108" s="4"/>
      <c r="R108" s="4"/>
      <c r="S108" s="4"/>
      <c r="T108" s="4"/>
      <c r="U108" s="4"/>
      <c r="V108" s="4"/>
      <c r="W108" s="4"/>
      <c r="X108" s="4"/>
      <c r="Y108" s="4"/>
      <c r="Z108" s="4"/>
      <c r="AA108" s="4"/>
      <c r="AB108" s="4"/>
      <c r="AC108" s="4"/>
      <c r="AD108" s="4"/>
      <c r="AE108" s="4"/>
    </row>
    <row r="109" spans="17:31" x14ac:dyDescent="0.25">
      <c r="Q109" s="4"/>
      <c r="R109" s="4"/>
      <c r="S109" s="4"/>
      <c r="T109" s="4"/>
      <c r="U109" s="4"/>
      <c r="V109" s="4"/>
      <c r="W109" s="4"/>
      <c r="X109" s="4"/>
      <c r="Y109" s="4"/>
      <c r="Z109" s="4"/>
      <c r="AA109" s="4"/>
      <c r="AB109" s="4"/>
      <c r="AC109" s="4"/>
      <c r="AD109" s="4"/>
      <c r="AE109" s="4"/>
    </row>
    <row r="110" spans="17:31" x14ac:dyDescent="0.25">
      <c r="Q110" s="4"/>
      <c r="R110" s="4"/>
      <c r="S110" s="4"/>
      <c r="T110" s="4"/>
      <c r="U110" s="4"/>
      <c r="V110" s="4"/>
      <c r="W110" s="4"/>
      <c r="X110" s="4"/>
      <c r="Y110" s="4"/>
      <c r="Z110" s="4"/>
      <c r="AA110" s="4"/>
      <c r="AB110" s="4"/>
      <c r="AC110" s="4"/>
      <c r="AD110" s="4"/>
      <c r="AE110" s="4"/>
    </row>
    <row r="111" spans="17:31" x14ac:dyDescent="0.25">
      <c r="Q111" s="4"/>
      <c r="R111" s="4"/>
      <c r="S111" s="4"/>
      <c r="T111" s="4"/>
      <c r="U111" s="4"/>
      <c r="V111" s="4"/>
      <c r="W111" s="4"/>
      <c r="X111" s="4"/>
      <c r="Y111" s="4"/>
      <c r="Z111" s="4"/>
      <c r="AA111" s="4"/>
      <c r="AB111" s="4"/>
      <c r="AC111" s="4"/>
      <c r="AD111" s="4"/>
      <c r="AE111" s="4"/>
    </row>
    <row r="112" spans="17:31" x14ac:dyDescent="0.25">
      <c r="Q112" s="4"/>
      <c r="R112" s="4"/>
      <c r="S112" s="4"/>
      <c r="T112" s="4"/>
      <c r="U112" s="4"/>
      <c r="V112" s="4"/>
      <c r="W112" s="4"/>
      <c r="X112" s="4"/>
      <c r="Y112" s="4"/>
      <c r="Z112" s="4"/>
      <c r="AA112" s="4"/>
      <c r="AB112" s="4"/>
      <c r="AC112" s="4"/>
      <c r="AD112" s="4"/>
      <c r="AE112" s="4"/>
    </row>
    <row r="113" spans="17:31" x14ac:dyDescent="0.25">
      <c r="Q113" s="4"/>
      <c r="R113" s="4"/>
      <c r="S113" s="4"/>
      <c r="T113" s="4"/>
      <c r="U113" s="4"/>
      <c r="V113" s="4"/>
      <c r="W113" s="4"/>
      <c r="X113" s="4"/>
      <c r="Y113" s="4"/>
      <c r="Z113" s="4"/>
      <c r="AA113" s="4"/>
      <c r="AB113" s="4"/>
      <c r="AC113" s="4"/>
      <c r="AD113" s="4"/>
      <c r="AE113" s="4"/>
    </row>
    <row r="114" spans="17:31" x14ac:dyDescent="0.25">
      <c r="Q114" s="4"/>
      <c r="R114" s="4"/>
      <c r="S114" s="4"/>
      <c r="T114" s="4"/>
      <c r="U114" s="4"/>
      <c r="V114" s="4"/>
      <c r="W114" s="4"/>
      <c r="X114" s="4"/>
      <c r="Y114" s="4"/>
      <c r="Z114" s="4"/>
      <c r="AA114" s="4"/>
      <c r="AB114" s="4"/>
      <c r="AC114" s="4"/>
      <c r="AD114" s="4"/>
      <c r="AE114" s="4"/>
    </row>
    <row r="115" spans="17:31" x14ac:dyDescent="0.25">
      <c r="Q115" s="4"/>
      <c r="R115" s="4"/>
      <c r="S115" s="4"/>
      <c r="T115" s="4"/>
      <c r="U115" s="4"/>
      <c r="V115" s="4"/>
      <c r="W115" s="4"/>
      <c r="X115" s="4"/>
      <c r="Y115" s="4"/>
      <c r="Z115" s="4"/>
      <c r="AA115" s="4"/>
      <c r="AB115" s="4"/>
      <c r="AC115" s="4"/>
      <c r="AD115" s="4"/>
      <c r="AE115" s="4"/>
    </row>
    <row r="116" spans="17:31" x14ac:dyDescent="0.25">
      <c r="Q116" s="4"/>
      <c r="R116" s="4"/>
      <c r="S116" s="4"/>
      <c r="T116" s="4"/>
      <c r="U116" s="4"/>
      <c r="V116" s="4"/>
      <c r="W116" s="4"/>
      <c r="X116" s="4"/>
      <c r="Y116" s="4"/>
      <c r="Z116" s="4"/>
      <c r="AA116" s="4"/>
      <c r="AB116" s="4"/>
      <c r="AC116" s="4"/>
      <c r="AD116" s="4"/>
      <c r="AE116" s="4"/>
    </row>
    <row r="117" spans="17:31" x14ac:dyDescent="0.25">
      <c r="Q117" s="4"/>
      <c r="R117" s="4"/>
      <c r="S117" s="4"/>
      <c r="T117" s="4"/>
      <c r="U117" s="4"/>
      <c r="V117" s="4"/>
      <c r="W117" s="4"/>
      <c r="X117" s="4"/>
      <c r="Y117" s="4"/>
      <c r="Z117" s="4"/>
      <c r="AA117" s="4"/>
      <c r="AB117" s="4"/>
      <c r="AC117" s="4"/>
      <c r="AD117" s="4"/>
      <c r="AE117" s="4"/>
    </row>
    <row r="118" spans="17:31" x14ac:dyDescent="0.25">
      <c r="Q118" s="4"/>
      <c r="R118" s="4"/>
      <c r="S118" s="4"/>
      <c r="T118" s="4"/>
      <c r="U118" s="4"/>
      <c r="V118" s="4"/>
      <c r="W118" s="4"/>
      <c r="X118" s="4"/>
      <c r="Y118" s="4"/>
      <c r="Z118" s="4"/>
      <c r="AA118" s="4"/>
      <c r="AB118" s="4"/>
      <c r="AC118" s="4"/>
      <c r="AD118" s="4"/>
      <c r="AE118" s="4"/>
    </row>
    <row r="119" spans="17:31" x14ac:dyDescent="0.25">
      <c r="Q119" s="4"/>
      <c r="R119" s="4"/>
      <c r="S119" s="4"/>
      <c r="T119" s="4"/>
      <c r="U119" s="4"/>
      <c r="V119" s="4"/>
      <c r="W119" s="4"/>
      <c r="X119" s="4"/>
      <c r="Y119" s="4"/>
      <c r="Z119" s="4"/>
      <c r="AA119" s="4"/>
      <c r="AB119" s="4"/>
      <c r="AC119" s="4"/>
      <c r="AD119" s="4"/>
      <c r="AE119" s="4"/>
    </row>
    <row r="120" spans="17:31" x14ac:dyDescent="0.25">
      <c r="Q120" s="4"/>
      <c r="R120" s="4"/>
      <c r="S120" s="4"/>
      <c r="T120" s="4"/>
      <c r="U120" s="4"/>
      <c r="V120" s="4"/>
      <c r="W120" s="4"/>
      <c r="X120" s="4"/>
      <c r="Y120" s="4"/>
      <c r="Z120" s="4"/>
      <c r="AA120" s="4"/>
      <c r="AB120" s="4"/>
      <c r="AC120" s="4"/>
      <c r="AD120" s="4"/>
      <c r="AE120" s="4"/>
    </row>
    <row r="121" spans="17:31" x14ac:dyDescent="0.25">
      <c r="Q121" s="4"/>
      <c r="R121" s="4"/>
      <c r="S121" s="4"/>
      <c r="T121" s="4"/>
      <c r="U121" s="4"/>
      <c r="V121" s="4"/>
      <c r="W121" s="4"/>
      <c r="X121" s="4"/>
      <c r="Y121" s="4"/>
      <c r="Z121" s="4"/>
      <c r="AA121" s="4"/>
      <c r="AB121" s="4"/>
      <c r="AC121" s="4"/>
      <c r="AD121" s="4"/>
      <c r="AE121" s="4"/>
    </row>
    <row r="122" spans="17:31" x14ac:dyDescent="0.25">
      <c r="Q122" s="4"/>
      <c r="R122" s="4"/>
      <c r="S122" s="4"/>
      <c r="T122" s="4"/>
      <c r="U122" s="4"/>
      <c r="V122" s="4"/>
      <c r="W122" s="4"/>
      <c r="X122" s="4"/>
      <c r="Y122" s="4"/>
      <c r="Z122" s="4"/>
      <c r="AA122" s="4"/>
      <c r="AB122" s="4"/>
      <c r="AC122" s="4"/>
      <c r="AD122" s="4"/>
      <c r="AE122" s="4"/>
    </row>
    <row r="123" spans="17:31" x14ac:dyDescent="0.25">
      <c r="Q123" s="4"/>
      <c r="R123" s="4"/>
      <c r="S123" s="4"/>
      <c r="T123" s="4"/>
      <c r="U123" s="4"/>
      <c r="V123" s="4"/>
      <c r="W123" s="4"/>
      <c r="X123" s="4"/>
      <c r="Y123" s="4"/>
      <c r="Z123" s="4"/>
      <c r="AA123" s="4"/>
      <c r="AB123" s="4"/>
      <c r="AC123" s="4"/>
      <c r="AD123" s="4"/>
      <c r="AE123" s="4"/>
    </row>
    <row r="124" spans="17:31" x14ac:dyDescent="0.25">
      <c r="Q124" s="4"/>
      <c r="R124" s="4"/>
      <c r="S124" s="4"/>
      <c r="T124" s="4"/>
      <c r="U124" s="4"/>
      <c r="V124" s="4"/>
      <c r="W124" s="4"/>
      <c r="X124" s="4"/>
      <c r="Y124" s="4"/>
      <c r="Z124" s="4"/>
      <c r="AA124" s="4"/>
      <c r="AB124" s="4"/>
      <c r="AC124" s="4"/>
      <c r="AD124" s="4"/>
      <c r="AE124" s="4"/>
    </row>
    <row r="125" spans="17:31" x14ac:dyDescent="0.25">
      <c r="Q125" s="4"/>
      <c r="R125" s="4"/>
      <c r="S125" s="4"/>
      <c r="T125" s="4"/>
      <c r="U125" s="4"/>
      <c r="V125" s="4"/>
      <c r="W125" s="4"/>
      <c r="X125" s="4"/>
      <c r="Y125" s="4"/>
      <c r="Z125" s="4"/>
      <c r="AA125" s="4"/>
      <c r="AB125" s="4"/>
      <c r="AC125" s="4"/>
      <c r="AD125" s="4"/>
      <c r="AE125" s="4"/>
    </row>
    <row r="126" spans="17:31" x14ac:dyDescent="0.25">
      <c r="Q126" s="4"/>
      <c r="R126" s="4"/>
      <c r="S126" s="4"/>
      <c r="T126" s="4"/>
      <c r="U126" s="4"/>
      <c r="V126" s="4"/>
      <c r="W126" s="4"/>
      <c r="X126" s="4"/>
      <c r="Y126" s="4"/>
      <c r="Z126" s="4"/>
      <c r="AA126" s="4"/>
      <c r="AB126" s="4"/>
      <c r="AC126" s="4"/>
      <c r="AD126" s="4"/>
      <c r="AE126" s="4"/>
    </row>
    <row r="127" spans="17:31" x14ac:dyDescent="0.25">
      <c r="Q127" s="4"/>
      <c r="R127" s="4"/>
      <c r="S127" s="4"/>
      <c r="T127" s="4"/>
      <c r="U127" s="4"/>
      <c r="V127" s="4"/>
      <c r="W127" s="4"/>
      <c r="X127" s="4"/>
      <c r="Y127" s="4"/>
      <c r="Z127" s="4"/>
      <c r="AA127" s="4"/>
      <c r="AB127" s="4"/>
      <c r="AC127" s="4"/>
      <c r="AD127" s="4"/>
      <c r="AE127" s="4"/>
    </row>
    <row r="128" spans="17:31" x14ac:dyDescent="0.25">
      <c r="Q128" s="4"/>
      <c r="R128" s="4"/>
      <c r="S128" s="4"/>
      <c r="T128" s="4"/>
      <c r="U128" s="4"/>
      <c r="V128" s="4"/>
      <c r="W128" s="4"/>
      <c r="X128" s="4"/>
      <c r="Y128" s="4"/>
      <c r="Z128" s="4"/>
      <c r="AA128" s="4"/>
      <c r="AB128" s="4"/>
      <c r="AC128" s="4"/>
      <c r="AD128" s="4"/>
      <c r="AE128" s="4"/>
    </row>
    <row r="129" spans="17:31" x14ac:dyDescent="0.25">
      <c r="Q129" s="4"/>
      <c r="R129" s="4"/>
      <c r="S129" s="4"/>
      <c r="T129" s="4"/>
      <c r="U129" s="4"/>
      <c r="V129" s="4"/>
      <c r="W129" s="4"/>
      <c r="X129" s="4"/>
      <c r="Y129" s="4"/>
      <c r="Z129" s="4"/>
      <c r="AA129" s="4"/>
      <c r="AB129" s="4"/>
      <c r="AC129" s="4"/>
      <c r="AD129" s="4"/>
      <c r="AE129" s="4"/>
    </row>
    <row r="130" spans="17:31" x14ac:dyDescent="0.25">
      <c r="Q130" s="4"/>
      <c r="R130" s="4"/>
      <c r="S130" s="4"/>
      <c r="T130" s="4"/>
      <c r="U130" s="4"/>
      <c r="V130" s="4"/>
      <c r="W130" s="4"/>
      <c r="X130" s="4"/>
      <c r="Y130" s="4"/>
      <c r="Z130" s="4"/>
      <c r="AA130" s="4"/>
      <c r="AB130" s="4"/>
      <c r="AC130" s="4"/>
      <c r="AD130" s="4"/>
      <c r="AE130" s="4"/>
    </row>
    <row r="131" spans="17:31" x14ac:dyDescent="0.25">
      <c r="Q131" s="4"/>
      <c r="R131" s="4"/>
      <c r="S131" s="4"/>
      <c r="T131" s="4"/>
      <c r="U131" s="4"/>
      <c r="V131" s="4"/>
      <c r="W131" s="4"/>
      <c r="X131" s="4"/>
      <c r="Y131" s="4"/>
      <c r="Z131" s="4"/>
      <c r="AA131" s="4"/>
      <c r="AB131" s="4"/>
      <c r="AC131" s="4"/>
      <c r="AD131" s="4"/>
      <c r="AE131" s="4"/>
    </row>
    <row r="132" spans="17:31" x14ac:dyDescent="0.25">
      <c r="Q132" s="4"/>
      <c r="R132" s="4"/>
      <c r="S132" s="4"/>
      <c r="T132" s="4"/>
      <c r="U132" s="4"/>
      <c r="V132" s="4"/>
      <c r="W132" s="4"/>
      <c r="X132" s="4"/>
      <c r="Y132" s="4"/>
      <c r="Z132" s="4"/>
      <c r="AA132" s="4"/>
      <c r="AB132" s="4"/>
      <c r="AC132" s="4"/>
      <c r="AD132" s="4"/>
      <c r="AE132" s="4"/>
    </row>
    <row r="133" spans="17:31" x14ac:dyDescent="0.25">
      <c r="Q133" s="4"/>
      <c r="R133" s="4"/>
      <c r="S133" s="4"/>
      <c r="T133" s="4"/>
      <c r="U133" s="4"/>
      <c r="V133" s="4"/>
      <c r="W133" s="4"/>
      <c r="X133" s="4"/>
      <c r="Y133" s="4"/>
      <c r="Z133" s="4"/>
      <c r="AA133" s="4"/>
      <c r="AB133" s="4"/>
      <c r="AC133" s="4"/>
      <c r="AD133" s="4"/>
      <c r="AE133" s="4"/>
    </row>
    <row r="134" spans="17:31" x14ac:dyDescent="0.25">
      <c r="Q134" s="4"/>
      <c r="R134" s="4"/>
      <c r="S134" s="4"/>
      <c r="T134" s="4"/>
      <c r="U134" s="4"/>
      <c r="V134" s="4"/>
      <c r="W134" s="4"/>
      <c r="X134" s="4"/>
      <c r="Y134" s="4"/>
      <c r="Z134" s="4"/>
      <c r="AA134" s="4"/>
      <c r="AB134" s="4"/>
      <c r="AC134" s="4"/>
      <c r="AD134" s="4"/>
      <c r="AE134" s="4"/>
    </row>
    <row r="135" spans="17:31" x14ac:dyDescent="0.25">
      <c r="Q135" s="4"/>
      <c r="R135" s="4"/>
      <c r="S135" s="4"/>
      <c r="T135" s="4"/>
      <c r="U135" s="4"/>
      <c r="V135" s="4"/>
      <c r="W135" s="4"/>
      <c r="X135" s="4"/>
      <c r="Y135" s="4"/>
      <c r="Z135" s="4"/>
      <c r="AA135" s="4"/>
      <c r="AB135" s="4"/>
      <c r="AC135" s="4"/>
      <c r="AD135" s="4"/>
      <c r="AE135" s="4"/>
    </row>
    <row r="136" spans="17:31" x14ac:dyDescent="0.25">
      <c r="Q136" s="4"/>
      <c r="R136" s="4"/>
      <c r="S136" s="4"/>
      <c r="T136" s="4"/>
      <c r="U136" s="4"/>
      <c r="V136" s="4"/>
      <c r="W136" s="4"/>
      <c r="X136" s="4"/>
      <c r="Y136" s="4"/>
      <c r="Z136" s="4"/>
      <c r="AA136" s="4"/>
      <c r="AB136" s="4"/>
      <c r="AC136" s="4"/>
      <c r="AD136" s="4"/>
      <c r="AE136" s="4"/>
    </row>
    <row r="137" spans="17:31" x14ac:dyDescent="0.25">
      <c r="Q137" s="4"/>
      <c r="R137" s="4"/>
      <c r="S137" s="4"/>
      <c r="T137" s="4"/>
      <c r="U137" s="4"/>
      <c r="V137" s="4"/>
      <c r="W137" s="4"/>
      <c r="X137" s="4"/>
      <c r="Y137" s="4"/>
      <c r="Z137" s="4"/>
      <c r="AA137" s="4"/>
      <c r="AB137" s="4"/>
      <c r="AC137" s="4"/>
      <c r="AD137" s="4"/>
      <c r="AE137" s="4"/>
    </row>
    <row r="138" spans="17:31" x14ac:dyDescent="0.25">
      <c r="Q138" s="4"/>
      <c r="R138" s="4"/>
      <c r="S138" s="4"/>
      <c r="T138" s="4"/>
      <c r="U138" s="4"/>
      <c r="V138" s="4"/>
      <c r="W138" s="4"/>
      <c r="X138" s="4"/>
      <c r="Y138" s="4"/>
      <c r="Z138" s="4"/>
      <c r="AA138" s="4"/>
      <c r="AB138" s="4"/>
      <c r="AC138" s="4"/>
      <c r="AD138" s="4"/>
      <c r="AE138" s="4"/>
    </row>
    <row r="139" spans="17:31" x14ac:dyDescent="0.25">
      <c r="Q139" s="4"/>
      <c r="R139" s="4"/>
      <c r="S139" s="4"/>
      <c r="T139" s="4"/>
      <c r="U139" s="4"/>
      <c r="V139" s="4"/>
      <c r="W139" s="4"/>
      <c r="X139" s="4"/>
      <c r="Y139" s="4"/>
      <c r="Z139" s="4"/>
      <c r="AA139" s="4"/>
      <c r="AB139" s="4"/>
      <c r="AC139" s="4"/>
      <c r="AD139" s="4"/>
      <c r="AE139" s="4"/>
    </row>
    <row r="140" spans="17:31" x14ac:dyDescent="0.25">
      <c r="Q140" s="4"/>
      <c r="R140" s="4"/>
      <c r="S140" s="4"/>
      <c r="T140" s="4"/>
      <c r="U140" s="4"/>
      <c r="V140" s="4"/>
      <c r="W140" s="4"/>
      <c r="X140" s="4"/>
      <c r="Y140" s="4"/>
      <c r="Z140" s="4"/>
      <c r="AA140" s="4"/>
      <c r="AB140" s="4"/>
      <c r="AC140" s="4"/>
      <c r="AD140" s="4"/>
      <c r="AE140" s="4"/>
    </row>
    <row r="141" spans="17:31" x14ac:dyDescent="0.25">
      <c r="Q141" s="4"/>
      <c r="R141" s="4"/>
      <c r="S141" s="4"/>
      <c r="T141" s="4"/>
      <c r="U141" s="4"/>
      <c r="V141" s="4"/>
      <c r="W141" s="4"/>
      <c r="X141" s="4"/>
      <c r="Y141" s="4"/>
      <c r="Z141" s="4"/>
      <c r="AA141" s="4"/>
      <c r="AB141" s="4"/>
      <c r="AC141" s="4"/>
      <c r="AD141" s="4"/>
      <c r="AE141" s="4"/>
    </row>
    <row r="142" spans="17:31" x14ac:dyDescent="0.25">
      <c r="Q142" s="4"/>
      <c r="R142" s="4"/>
      <c r="S142" s="4"/>
      <c r="T142" s="4"/>
      <c r="U142" s="4"/>
      <c r="V142" s="4"/>
      <c r="W142" s="4"/>
      <c r="X142" s="4"/>
      <c r="Y142" s="4"/>
      <c r="Z142" s="4"/>
      <c r="AA142" s="4"/>
      <c r="AB142" s="4"/>
      <c r="AC142" s="4"/>
      <c r="AD142" s="4"/>
      <c r="AE142" s="4"/>
    </row>
    <row r="143" spans="17:31" x14ac:dyDescent="0.25">
      <c r="Q143" s="4"/>
      <c r="R143" s="4"/>
      <c r="S143" s="4"/>
      <c r="T143" s="4"/>
      <c r="U143" s="4"/>
      <c r="V143" s="4"/>
      <c r="W143" s="4"/>
      <c r="X143" s="4"/>
      <c r="Y143" s="4"/>
      <c r="Z143" s="4"/>
      <c r="AA143" s="4"/>
      <c r="AB143" s="4"/>
      <c r="AC143" s="4"/>
      <c r="AD143" s="4"/>
      <c r="AE143" s="4"/>
    </row>
    <row r="144" spans="17:31" x14ac:dyDescent="0.25">
      <c r="Q144" s="4"/>
      <c r="R144" s="4"/>
      <c r="S144" s="4"/>
      <c r="T144" s="4"/>
      <c r="U144" s="4"/>
      <c r="V144" s="4"/>
      <c r="W144" s="4"/>
      <c r="X144" s="4"/>
      <c r="Y144" s="4"/>
      <c r="Z144" s="4"/>
      <c r="AA144" s="4"/>
      <c r="AB144" s="4"/>
      <c r="AC144" s="4"/>
      <c r="AD144" s="4"/>
      <c r="AE144" s="4"/>
    </row>
    <row r="145" spans="17:31" x14ac:dyDescent="0.25">
      <c r="Q145" s="4"/>
      <c r="R145" s="4"/>
      <c r="S145" s="4"/>
      <c r="T145" s="4"/>
      <c r="U145" s="4"/>
      <c r="V145" s="4"/>
      <c r="W145" s="4"/>
      <c r="X145" s="4"/>
      <c r="Y145" s="4"/>
      <c r="Z145" s="4"/>
      <c r="AA145" s="4"/>
      <c r="AB145" s="4"/>
      <c r="AC145" s="4"/>
      <c r="AD145" s="4"/>
      <c r="AE145" s="4"/>
    </row>
    <row r="146" spans="17:31" x14ac:dyDescent="0.25">
      <c r="Q146" s="4"/>
      <c r="R146" s="4"/>
      <c r="S146" s="4"/>
      <c r="T146" s="4"/>
      <c r="U146" s="4"/>
      <c r="V146" s="4"/>
      <c r="W146" s="4"/>
      <c r="X146" s="4"/>
      <c r="Y146" s="4"/>
      <c r="Z146" s="4"/>
      <c r="AA146" s="4"/>
      <c r="AB146" s="4"/>
      <c r="AC146" s="4"/>
      <c r="AD146" s="4"/>
    </row>
    <row r="147" spans="17:31" x14ac:dyDescent="0.25">
      <c r="Q147" s="4"/>
      <c r="R147" s="4"/>
      <c r="S147" s="4"/>
      <c r="T147" s="4"/>
      <c r="U147" s="4"/>
      <c r="V147" s="4"/>
      <c r="W147" s="4"/>
      <c r="X147" s="4"/>
      <c r="Y147" s="4"/>
      <c r="Z147" s="4"/>
      <c r="AA147" s="4"/>
      <c r="AB147" s="4"/>
      <c r="AC147" s="4"/>
      <c r="AD147" s="4"/>
    </row>
    <row r="148" spans="17:31" x14ac:dyDescent="0.25">
      <c r="Q148" s="4"/>
      <c r="R148" s="4"/>
      <c r="S148" s="4"/>
      <c r="T148" s="4"/>
      <c r="U148" s="4"/>
      <c r="V148" s="4"/>
      <c r="W148" s="4"/>
      <c r="X148" s="4"/>
      <c r="Y148" s="4"/>
      <c r="Z148" s="4"/>
      <c r="AA148" s="4"/>
      <c r="AB148" s="4"/>
      <c r="AC148" s="4"/>
      <c r="AD148" s="4"/>
    </row>
    <row r="149" spans="17:31" x14ac:dyDescent="0.25">
      <c r="Q149" s="4"/>
      <c r="R149" s="4"/>
      <c r="S149" s="4"/>
      <c r="T149" s="4"/>
      <c r="U149" s="4"/>
      <c r="V149" s="4"/>
      <c r="W149" s="4"/>
      <c r="X149" s="4"/>
      <c r="Y149" s="4"/>
      <c r="Z149" s="4"/>
      <c r="AA149" s="4"/>
      <c r="AB149" s="4"/>
      <c r="AC149" s="4"/>
      <c r="AD149" s="4"/>
    </row>
    <row r="150" spans="17:31" x14ac:dyDescent="0.25">
      <c r="Q150" s="4"/>
      <c r="R150" s="4"/>
      <c r="S150" s="4"/>
      <c r="T150" s="4"/>
      <c r="U150" s="4"/>
      <c r="V150" s="4"/>
      <c r="W150" s="4"/>
      <c r="X150" s="4"/>
      <c r="Y150" s="4"/>
      <c r="Z150" s="4"/>
      <c r="AA150" s="4"/>
      <c r="AB150" s="4"/>
      <c r="AC150" s="4"/>
      <c r="AD150" s="4"/>
    </row>
    <row r="151" spans="17:31" x14ac:dyDescent="0.25">
      <c r="Q151" s="4"/>
      <c r="R151" s="4"/>
      <c r="S151" s="4"/>
      <c r="T151" s="4"/>
      <c r="U151" s="4"/>
      <c r="V151" s="4"/>
      <c r="W151" s="4"/>
      <c r="X151" s="4"/>
      <c r="Y151" s="4"/>
      <c r="Z151" s="4"/>
      <c r="AA151" s="4"/>
      <c r="AB151" s="4"/>
      <c r="AC151" s="4"/>
      <c r="AD151" s="4"/>
    </row>
    <row r="152" spans="17:31" x14ac:dyDescent="0.25">
      <c r="Q152" s="4"/>
      <c r="R152" s="4"/>
      <c r="S152" s="4"/>
      <c r="T152" s="4"/>
      <c r="U152" s="4"/>
      <c r="V152" s="4"/>
      <c r="W152" s="4"/>
      <c r="X152" s="4"/>
      <c r="Y152" s="4"/>
      <c r="Z152" s="4"/>
      <c r="AA152" s="4"/>
      <c r="AB152" s="4"/>
      <c r="AC152" s="4"/>
      <c r="AD152" s="4"/>
    </row>
    <row r="153" spans="17:31" x14ac:dyDescent="0.25">
      <c r="Q153" s="4"/>
      <c r="R153" s="4"/>
      <c r="S153" s="4"/>
      <c r="T153" s="4"/>
      <c r="U153" s="4"/>
      <c r="V153" s="4"/>
      <c r="W153" s="4"/>
      <c r="X153" s="4"/>
      <c r="Y153" s="4"/>
      <c r="Z153" s="4"/>
      <c r="AA153" s="4"/>
      <c r="AB153" s="4"/>
      <c r="AC153" s="4"/>
      <c r="AD153" s="4"/>
    </row>
    <row r="154" spans="17:31" x14ac:dyDescent="0.25">
      <c r="Q154" s="4"/>
      <c r="R154" s="4"/>
      <c r="S154" s="4"/>
      <c r="T154" s="4"/>
      <c r="U154" s="4"/>
      <c r="V154" s="4"/>
      <c r="W154" s="4"/>
      <c r="X154" s="4"/>
      <c r="Y154" s="4"/>
      <c r="Z154" s="4"/>
      <c r="AA154" s="4"/>
      <c r="AB154" s="4"/>
      <c r="AC154" s="4"/>
      <c r="AD154" s="4"/>
    </row>
    <row r="155" spans="17:31" x14ac:dyDescent="0.25">
      <c r="Q155" s="4"/>
      <c r="R155" s="4"/>
      <c r="S155" s="4"/>
      <c r="T155" s="4"/>
      <c r="U155" s="4"/>
      <c r="V155" s="4"/>
      <c r="W155" s="4"/>
      <c r="X155" s="4"/>
      <c r="Y155" s="4"/>
      <c r="Z155" s="4"/>
      <c r="AA155" s="4"/>
      <c r="AB155" s="4"/>
      <c r="AC155" s="4"/>
      <c r="AD155" s="4"/>
    </row>
    <row r="156" spans="17:31" x14ac:dyDescent="0.25">
      <c r="Q156" s="4"/>
      <c r="R156" s="4"/>
      <c r="S156" s="4"/>
      <c r="T156" s="4"/>
      <c r="U156" s="4"/>
      <c r="V156" s="4"/>
      <c r="W156" s="4"/>
      <c r="X156" s="4"/>
      <c r="Y156" s="4"/>
      <c r="Z156" s="4"/>
      <c r="AA156" s="4"/>
      <c r="AB156" s="4"/>
      <c r="AC156" s="4"/>
      <c r="AD156" s="4"/>
    </row>
    <row r="157" spans="17:31" x14ac:dyDescent="0.25">
      <c r="Q157" s="4"/>
      <c r="R157" s="4"/>
      <c r="S157" s="4"/>
      <c r="T157" s="4"/>
      <c r="U157" s="4"/>
      <c r="V157" s="4"/>
      <c r="W157" s="4"/>
      <c r="X157" s="4"/>
      <c r="Y157" s="4"/>
      <c r="Z157" s="4"/>
      <c r="AA157" s="4"/>
      <c r="AB157" s="4"/>
      <c r="AC157" s="4"/>
      <c r="AD157" s="4"/>
    </row>
    <row r="158" spans="17:31" x14ac:dyDescent="0.25">
      <c r="Q158" s="4"/>
      <c r="R158" s="4"/>
      <c r="S158" s="4"/>
      <c r="T158" s="4"/>
      <c r="U158" s="4"/>
      <c r="V158" s="4"/>
      <c r="W158" s="4"/>
      <c r="X158" s="4"/>
      <c r="Y158" s="4"/>
      <c r="Z158" s="4"/>
      <c r="AA158" s="4"/>
      <c r="AB158" s="4"/>
      <c r="AC158" s="4"/>
      <c r="AD158" s="4"/>
    </row>
    <row r="159" spans="17:31" x14ac:dyDescent="0.25">
      <c r="Q159" s="4"/>
      <c r="R159" s="4"/>
      <c r="S159" s="4"/>
      <c r="T159" s="4"/>
      <c r="U159" s="4"/>
      <c r="V159" s="4"/>
      <c r="W159" s="4"/>
      <c r="X159" s="4"/>
      <c r="Y159" s="4"/>
      <c r="Z159" s="4"/>
      <c r="AA159" s="4"/>
      <c r="AB159" s="4"/>
      <c r="AC159" s="4"/>
      <c r="AD159" s="4"/>
    </row>
    <row r="160" spans="17:31" x14ac:dyDescent="0.25">
      <c r="Q160" s="4"/>
      <c r="R160" s="4"/>
      <c r="S160" s="4"/>
      <c r="T160" s="4"/>
      <c r="U160" s="4"/>
      <c r="V160" s="4"/>
      <c r="W160" s="4"/>
      <c r="X160" s="4"/>
      <c r="Y160" s="4"/>
      <c r="Z160" s="4"/>
      <c r="AA160" s="4"/>
      <c r="AB160" s="4"/>
      <c r="AC160" s="4"/>
      <c r="AD160" s="4"/>
    </row>
    <row r="161" spans="17:30" x14ac:dyDescent="0.25">
      <c r="Q161" s="4"/>
      <c r="R161" s="4"/>
      <c r="S161" s="4"/>
      <c r="T161" s="4"/>
      <c r="U161" s="4"/>
      <c r="V161" s="4"/>
      <c r="W161" s="4"/>
      <c r="X161" s="4"/>
      <c r="Y161" s="4"/>
      <c r="Z161" s="4"/>
      <c r="AA161" s="4"/>
      <c r="AB161" s="4"/>
      <c r="AC161" s="4"/>
      <c r="AD161" s="4"/>
    </row>
    <row r="162" spans="17:30" x14ac:dyDescent="0.25">
      <c r="Q162" s="4"/>
      <c r="R162" s="4"/>
      <c r="S162" s="4"/>
      <c r="T162" s="4"/>
      <c r="U162" s="4"/>
      <c r="V162" s="4"/>
      <c r="W162" s="4"/>
      <c r="X162" s="4"/>
      <c r="Y162" s="4"/>
      <c r="Z162" s="4"/>
      <c r="AA162" s="4"/>
      <c r="AB162" s="4"/>
      <c r="AC162" s="4"/>
      <c r="AD162" s="4"/>
    </row>
    <row r="163" spans="17:30" x14ac:dyDescent="0.25">
      <c r="Q163" s="4"/>
      <c r="R163" s="4"/>
      <c r="S163" s="4"/>
      <c r="T163" s="4"/>
      <c r="U163" s="4"/>
      <c r="V163" s="4"/>
      <c r="W163" s="4"/>
      <c r="X163" s="4"/>
      <c r="Y163" s="4"/>
      <c r="Z163" s="4"/>
      <c r="AA163" s="4"/>
      <c r="AB163" s="4"/>
      <c r="AC163" s="4"/>
      <c r="AD163" s="4"/>
    </row>
    <row r="164" spans="17:30" x14ac:dyDescent="0.25">
      <c r="Q164" s="4"/>
      <c r="R164" s="4"/>
      <c r="S164" s="4"/>
      <c r="T164" s="4"/>
      <c r="U164" s="4"/>
      <c r="V164" s="4"/>
      <c r="W164" s="4"/>
      <c r="X164" s="4"/>
      <c r="Y164" s="4"/>
      <c r="Z164" s="4"/>
      <c r="AA164" s="4"/>
      <c r="AB164" s="4"/>
      <c r="AC164" s="4"/>
      <c r="AD164" s="4"/>
    </row>
    <row r="165" spans="17:30" x14ac:dyDescent="0.25">
      <c r="Q165" s="4"/>
      <c r="R165" s="4"/>
      <c r="S165" s="4"/>
      <c r="T165" s="4"/>
      <c r="U165" s="4"/>
      <c r="V165" s="4"/>
      <c r="W165" s="4"/>
      <c r="X165" s="4"/>
      <c r="Y165" s="4"/>
      <c r="Z165" s="4"/>
      <c r="AA165" s="4"/>
      <c r="AB165" s="4"/>
      <c r="AC165" s="4"/>
      <c r="AD165" s="4"/>
    </row>
    <row r="166" spans="17:30" x14ac:dyDescent="0.25">
      <c r="Q166" s="4"/>
      <c r="R166" s="4"/>
      <c r="S166" s="4"/>
      <c r="T166" s="4"/>
      <c r="U166" s="4"/>
      <c r="V166" s="4"/>
      <c r="W166" s="4"/>
      <c r="X166" s="4"/>
      <c r="Y166" s="4"/>
      <c r="Z166" s="4"/>
      <c r="AA166" s="4"/>
      <c r="AB166" s="4"/>
      <c r="AC166" s="4"/>
      <c r="AD166" s="4"/>
    </row>
    <row r="167" spans="17:30" x14ac:dyDescent="0.25">
      <c r="Q167" s="4"/>
      <c r="R167" s="4"/>
      <c r="S167" s="4"/>
      <c r="T167" s="4"/>
      <c r="U167" s="4"/>
      <c r="V167" s="4"/>
      <c r="W167" s="4"/>
      <c r="X167" s="4"/>
      <c r="Y167" s="4"/>
      <c r="Z167" s="4"/>
      <c r="AA167" s="4"/>
      <c r="AB167" s="4"/>
      <c r="AC167" s="4"/>
      <c r="AD167" s="4"/>
    </row>
    <row r="168" spans="17:30" x14ac:dyDescent="0.25">
      <c r="Q168" s="4"/>
      <c r="R168" s="4"/>
      <c r="S168" s="4"/>
      <c r="T168" s="4"/>
      <c r="U168" s="4"/>
      <c r="V168" s="4"/>
      <c r="W168" s="4"/>
      <c r="X168" s="4"/>
      <c r="Y168" s="4"/>
      <c r="Z168" s="4"/>
      <c r="AA168" s="4"/>
      <c r="AB168" s="4"/>
      <c r="AC168" s="4"/>
      <c r="AD168" s="4"/>
    </row>
    <row r="169" spans="17:30" x14ac:dyDescent="0.25">
      <c r="Q169" s="4"/>
      <c r="R169" s="4"/>
      <c r="S169" s="4"/>
      <c r="T169" s="4"/>
      <c r="U169" s="4"/>
      <c r="V169" s="4"/>
      <c r="W169" s="4"/>
      <c r="X169" s="4"/>
      <c r="Y169" s="4"/>
      <c r="Z169" s="4"/>
      <c r="AA169" s="4"/>
      <c r="AB169" s="4"/>
      <c r="AC169" s="4"/>
      <c r="AD169" s="4"/>
    </row>
    <row r="170" spans="17:30" x14ac:dyDescent="0.25">
      <c r="Q170" s="4"/>
      <c r="R170" s="4"/>
      <c r="S170" s="4"/>
      <c r="T170" s="4"/>
      <c r="U170" s="4"/>
      <c r="V170" s="4"/>
      <c r="W170" s="4"/>
      <c r="X170" s="4"/>
      <c r="Y170" s="4"/>
      <c r="Z170" s="4"/>
      <c r="AA170" s="4"/>
      <c r="AB170" s="4"/>
      <c r="AC170" s="4"/>
      <c r="AD170" s="4"/>
    </row>
    <row r="171" spans="17:30" x14ac:dyDescent="0.25">
      <c r="Q171" s="4"/>
      <c r="R171" s="4"/>
      <c r="S171" s="4"/>
      <c r="T171" s="4"/>
      <c r="U171" s="4"/>
      <c r="V171" s="4"/>
      <c r="W171" s="4"/>
      <c r="X171" s="4"/>
      <c r="Y171" s="4"/>
      <c r="Z171" s="4"/>
      <c r="AA171" s="4"/>
      <c r="AB171" s="4"/>
      <c r="AC171" s="4"/>
      <c r="AD171" s="4"/>
    </row>
    <row r="172" spans="17:30" x14ac:dyDescent="0.25">
      <c r="Q172" s="4"/>
      <c r="R172" s="4"/>
      <c r="S172" s="4"/>
      <c r="T172" s="4"/>
      <c r="U172" s="4"/>
      <c r="V172" s="4"/>
      <c r="W172" s="4"/>
      <c r="X172" s="4"/>
      <c r="Y172" s="4"/>
      <c r="Z172" s="4"/>
      <c r="AA172" s="4"/>
      <c r="AB172" s="4"/>
      <c r="AC172" s="4"/>
      <c r="AD172" s="4"/>
    </row>
    <row r="173" spans="17:30" x14ac:dyDescent="0.25">
      <c r="Q173" s="4"/>
      <c r="R173" s="4"/>
      <c r="S173" s="4"/>
      <c r="T173" s="4"/>
      <c r="U173" s="4"/>
      <c r="V173" s="4"/>
      <c r="W173" s="4"/>
      <c r="X173" s="4"/>
      <c r="Y173" s="4"/>
      <c r="Z173" s="4"/>
      <c r="AA173" s="4"/>
      <c r="AB173" s="4"/>
      <c r="AC173" s="4"/>
      <c r="AD173" s="4"/>
    </row>
    <row r="174" spans="17:30" x14ac:dyDescent="0.25">
      <c r="Q174" s="4"/>
      <c r="R174" s="4"/>
      <c r="S174" s="4"/>
      <c r="T174" s="4"/>
      <c r="U174" s="4"/>
      <c r="V174" s="4"/>
      <c r="W174" s="4"/>
      <c r="X174" s="4"/>
      <c r="Y174" s="4"/>
      <c r="Z174" s="4"/>
      <c r="AA174" s="4"/>
      <c r="AB174" s="4"/>
      <c r="AC174" s="4"/>
      <c r="AD174" s="4"/>
    </row>
    <row r="175" spans="17:30" x14ac:dyDescent="0.25">
      <c r="Q175" s="4"/>
      <c r="R175" s="4"/>
      <c r="S175" s="4"/>
      <c r="T175" s="4"/>
      <c r="U175" s="4"/>
      <c r="V175" s="4"/>
      <c r="W175" s="4"/>
      <c r="X175" s="4"/>
      <c r="Y175" s="4"/>
      <c r="Z175" s="4"/>
      <c r="AA175" s="4"/>
      <c r="AB175" s="4"/>
      <c r="AC175" s="4"/>
      <c r="AD175" s="4"/>
    </row>
    <row r="176" spans="17:30" x14ac:dyDescent="0.25">
      <c r="Q176" s="4"/>
      <c r="R176" s="4"/>
      <c r="S176" s="4"/>
      <c r="T176" s="4"/>
      <c r="U176" s="4"/>
      <c r="V176" s="4"/>
      <c r="W176" s="4"/>
      <c r="X176" s="4"/>
      <c r="Y176" s="4"/>
      <c r="Z176" s="4"/>
      <c r="AA176" s="4"/>
      <c r="AB176" s="4"/>
      <c r="AC176" s="4"/>
      <c r="AD176" s="4"/>
    </row>
    <row r="177" spans="17:30" x14ac:dyDescent="0.25">
      <c r="Q177" s="4"/>
      <c r="R177" s="4"/>
      <c r="S177" s="4"/>
      <c r="T177" s="4"/>
      <c r="U177" s="4"/>
      <c r="V177" s="4"/>
      <c r="W177" s="4"/>
      <c r="X177" s="4"/>
      <c r="Y177" s="4"/>
      <c r="Z177" s="4"/>
      <c r="AA177" s="4"/>
      <c r="AB177" s="4"/>
      <c r="AC177" s="4"/>
      <c r="AD177" s="4"/>
    </row>
    <row r="178" spans="17:30" x14ac:dyDescent="0.25">
      <c r="Q178" s="4"/>
      <c r="R178" s="4"/>
      <c r="S178" s="4"/>
      <c r="T178" s="4"/>
      <c r="U178" s="4"/>
      <c r="V178" s="4"/>
      <c r="W178" s="4"/>
      <c r="X178" s="4"/>
      <c r="Y178" s="4"/>
      <c r="Z178" s="4"/>
      <c r="AA178" s="4"/>
      <c r="AB178" s="4"/>
      <c r="AC178" s="4"/>
      <c r="AD178" s="4"/>
    </row>
    <row r="179" spans="17:30" x14ac:dyDescent="0.25">
      <c r="Q179" s="4"/>
      <c r="R179" s="4"/>
      <c r="S179" s="4"/>
      <c r="T179" s="4"/>
      <c r="U179" s="4"/>
      <c r="V179" s="4"/>
      <c r="W179" s="4"/>
      <c r="X179" s="4"/>
      <c r="Y179" s="4"/>
      <c r="Z179" s="4"/>
      <c r="AA179" s="4"/>
      <c r="AB179" s="4"/>
      <c r="AC179" s="4"/>
      <c r="AD179" s="4"/>
    </row>
    <row r="180" spans="17:30" x14ac:dyDescent="0.25">
      <c r="Q180" s="4"/>
      <c r="R180" s="4"/>
      <c r="S180" s="4"/>
      <c r="T180" s="4"/>
      <c r="U180" s="4"/>
      <c r="V180" s="4"/>
      <c r="W180" s="4"/>
      <c r="X180" s="4"/>
      <c r="Y180" s="4"/>
      <c r="Z180" s="4"/>
      <c r="AA180" s="4"/>
      <c r="AB180" s="4"/>
      <c r="AC180" s="4"/>
      <c r="AD180" s="4"/>
    </row>
    <row r="181" spans="17:30" x14ac:dyDescent="0.25">
      <c r="Q181" s="4"/>
      <c r="R181" s="4"/>
      <c r="S181" s="4"/>
      <c r="T181" s="4"/>
      <c r="U181" s="4"/>
      <c r="V181" s="4"/>
      <c r="W181" s="4"/>
      <c r="X181" s="4"/>
      <c r="Y181" s="4"/>
      <c r="Z181" s="4"/>
      <c r="AA181" s="4"/>
      <c r="AB181" s="4"/>
      <c r="AC181" s="4"/>
      <c r="AD181" s="4"/>
    </row>
    <row r="182" spans="17:30" x14ac:dyDescent="0.25">
      <c r="Q182" s="4"/>
      <c r="R182" s="4"/>
      <c r="S182" s="4"/>
      <c r="T182" s="4"/>
      <c r="U182" s="4"/>
      <c r="V182" s="4"/>
      <c r="W182" s="4"/>
      <c r="X182" s="4"/>
      <c r="Y182" s="4"/>
      <c r="Z182" s="4"/>
      <c r="AA182" s="4"/>
      <c r="AB182" s="4"/>
      <c r="AC182" s="4"/>
      <c r="AD182" s="4"/>
    </row>
    <row r="183" spans="17:30" x14ac:dyDescent="0.25">
      <c r="Q183" s="4"/>
      <c r="R183" s="4"/>
      <c r="S183" s="4"/>
      <c r="T183" s="4"/>
      <c r="U183" s="4"/>
      <c r="V183" s="4"/>
      <c r="W183" s="4"/>
      <c r="X183" s="4"/>
      <c r="Y183" s="4"/>
      <c r="Z183" s="4"/>
      <c r="AA183" s="4"/>
      <c r="AB183" s="4"/>
      <c r="AC183" s="4"/>
      <c r="AD183" s="4"/>
    </row>
    <row r="184" spans="17:30" x14ac:dyDescent="0.25">
      <c r="Q184" s="4"/>
      <c r="R184" s="4"/>
      <c r="S184" s="4"/>
      <c r="T184" s="4"/>
      <c r="U184" s="4"/>
      <c r="V184" s="4"/>
      <c r="W184" s="4"/>
      <c r="X184" s="4"/>
      <c r="Y184" s="4"/>
      <c r="Z184" s="4"/>
      <c r="AA184" s="4"/>
      <c r="AB184" s="4"/>
      <c r="AC184" s="4"/>
      <c r="AD184" s="4"/>
    </row>
    <row r="185" spans="17:30" x14ac:dyDescent="0.25">
      <c r="Q185" s="4"/>
      <c r="R185" s="4"/>
      <c r="S185" s="4"/>
      <c r="T185" s="4"/>
      <c r="U185" s="4"/>
      <c r="V185" s="4"/>
      <c r="W185" s="4"/>
      <c r="X185" s="4"/>
      <c r="Y185" s="4"/>
      <c r="Z185" s="4"/>
      <c r="AA185" s="4"/>
      <c r="AB185" s="4"/>
      <c r="AC185" s="13"/>
      <c r="AD185" s="4"/>
    </row>
    <row r="186" spans="17:30" x14ac:dyDescent="0.25">
      <c r="Q186" s="4"/>
      <c r="R186" s="4"/>
      <c r="S186" s="4"/>
      <c r="T186" s="4"/>
      <c r="U186" s="4"/>
      <c r="V186" s="4"/>
      <c r="W186" s="4"/>
      <c r="X186" s="4"/>
      <c r="Y186" s="4"/>
      <c r="Z186" s="4"/>
      <c r="AA186" s="4"/>
      <c r="AB186" s="4"/>
      <c r="AC186" s="13"/>
      <c r="AD186" s="4"/>
    </row>
    <row r="187" spans="17:30" x14ac:dyDescent="0.25">
      <c r="Q187" s="4"/>
      <c r="R187" s="4"/>
      <c r="S187" s="4"/>
      <c r="T187" s="4"/>
      <c r="U187" s="4"/>
      <c r="V187" s="4"/>
      <c r="W187" s="4"/>
      <c r="X187" s="4"/>
      <c r="Y187" s="4"/>
      <c r="Z187" s="4"/>
      <c r="AA187" s="4"/>
      <c r="AB187" s="4"/>
      <c r="AC187" s="4"/>
      <c r="AD187" s="4"/>
    </row>
    <row r="188" spans="17:30" x14ac:dyDescent="0.25">
      <c r="Q188" s="4"/>
      <c r="R188" s="4"/>
      <c r="S188" s="4"/>
      <c r="T188" s="4"/>
      <c r="U188" s="4"/>
      <c r="V188" s="4"/>
      <c r="W188" s="4"/>
      <c r="X188" s="4"/>
      <c r="Y188" s="4"/>
      <c r="Z188" s="4"/>
      <c r="AA188" s="4"/>
      <c r="AB188" s="4"/>
      <c r="AC188" s="4"/>
      <c r="AD188" s="4"/>
    </row>
    <row r="189" spans="17:30" x14ac:dyDescent="0.25">
      <c r="Q189" s="4"/>
      <c r="R189" s="4"/>
      <c r="S189" s="4"/>
      <c r="T189" s="4"/>
      <c r="U189" s="4"/>
      <c r="V189" s="4"/>
      <c r="W189" s="4"/>
      <c r="X189" s="4"/>
      <c r="Y189" s="4"/>
      <c r="Z189" s="4"/>
      <c r="AA189" s="4"/>
      <c r="AB189" s="4"/>
      <c r="AC189" s="4"/>
      <c r="AD189" s="4"/>
    </row>
    <row r="190" spans="17:30" x14ac:dyDescent="0.25">
      <c r="Q190" s="4"/>
      <c r="R190" s="4"/>
      <c r="S190" s="4"/>
      <c r="T190" s="4"/>
      <c r="U190" s="4"/>
      <c r="V190" s="4"/>
      <c r="W190" s="4"/>
      <c r="X190" s="4"/>
      <c r="Y190" s="4"/>
      <c r="Z190" s="4"/>
      <c r="AA190" s="4"/>
      <c r="AB190" s="4"/>
      <c r="AC190" s="4"/>
      <c r="AD190" s="4"/>
    </row>
    <row r="191" spans="17:30" x14ac:dyDescent="0.25">
      <c r="Q191" s="4"/>
      <c r="R191" s="4"/>
      <c r="S191" s="4"/>
      <c r="T191" s="4"/>
      <c r="U191" s="4"/>
      <c r="V191" s="4"/>
      <c r="W191" s="4"/>
      <c r="X191" s="4"/>
      <c r="Y191" s="4"/>
      <c r="Z191" s="4"/>
      <c r="AA191" s="4"/>
      <c r="AB191" s="3"/>
      <c r="AC191" s="4"/>
      <c r="AD191" s="4"/>
    </row>
    <row r="192" spans="17:30" x14ac:dyDescent="0.25">
      <c r="Q192" s="4"/>
      <c r="R192" s="4"/>
      <c r="S192" s="4"/>
      <c r="T192" s="4"/>
      <c r="U192" s="4"/>
      <c r="V192" s="4"/>
      <c r="W192" s="4"/>
      <c r="X192" s="4"/>
      <c r="Y192" s="4"/>
      <c r="Z192" s="4"/>
      <c r="AA192" s="4"/>
      <c r="AB192" s="3"/>
      <c r="AC192" s="4"/>
      <c r="AD192" s="4"/>
    </row>
    <row r="193" spans="17:30" x14ac:dyDescent="0.25">
      <c r="Q193" s="4"/>
      <c r="R193" s="4"/>
      <c r="S193" s="4"/>
      <c r="T193" s="4"/>
      <c r="U193" s="4"/>
      <c r="V193" s="4"/>
      <c r="W193" s="4"/>
      <c r="X193" s="4"/>
      <c r="Y193" s="4"/>
      <c r="Z193" s="4"/>
      <c r="AA193" s="4"/>
      <c r="AB193" s="4"/>
      <c r="AC193" s="13"/>
      <c r="AD193" s="4"/>
    </row>
    <row r="194" spans="17:30" x14ac:dyDescent="0.25">
      <c r="Q194" s="4"/>
      <c r="R194" s="4"/>
      <c r="S194" s="4"/>
      <c r="T194" s="4"/>
      <c r="U194" s="4"/>
      <c r="V194" s="4"/>
      <c r="W194" s="4"/>
      <c r="X194" s="4"/>
      <c r="Y194" s="4"/>
      <c r="Z194" s="13"/>
      <c r="AA194" s="3"/>
      <c r="AB194" s="4"/>
      <c r="AC194" s="4"/>
      <c r="AD194" s="4"/>
    </row>
    <row r="195" spans="17:30" x14ac:dyDescent="0.25">
      <c r="Q195" s="4"/>
      <c r="R195" s="4"/>
      <c r="S195" s="4"/>
      <c r="T195" s="4"/>
      <c r="U195" s="4"/>
      <c r="V195" s="4"/>
      <c r="W195" s="4"/>
      <c r="X195" s="4"/>
      <c r="Y195" s="4"/>
      <c r="Z195" s="13"/>
      <c r="AA195" s="3"/>
      <c r="AB195" s="4"/>
      <c r="AC195" s="13"/>
      <c r="AD195" s="4"/>
    </row>
    <row r="196" spans="17:30" x14ac:dyDescent="0.25">
      <c r="Q196" s="13"/>
      <c r="R196" s="3"/>
      <c r="S196" s="3"/>
      <c r="T196" s="13"/>
      <c r="U196" s="4"/>
      <c r="V196" s="4"/>
      <c r="W196" s="13"/>
      <c r="X196" s="4"/>
      <c r="Y196" s="3"/>
      <c r="Z196" s="4"/>
      <c r="AA196" s="4"/>
      <c r="AB196" s="4"/>
      <c r="AC196" s="4"/>
      <c r="AD196" s="4"/>
    </row>
    <row r="197" spans="17:30" x14ac:dyDescent="0.25">
      <c r="Q197" s="13"/>
      <c r="R197" s="13"/>
      <c r="S197" s="13"/>
      <c r="T197" s="13"/>
      <c r="U197" s="3"/>
      <c r="V197" s="3"/>
      <c r="W197" s="13"/>
      <c r="X197" s="3"/>
      <c r="Y197" s="3"/>
      <c r="Z197" s="4"/>
      <c r="AA197" s="4"/>
      <c r="AB197" s="4"/>
      <c r="AC197" s="4"/>
      <c r="AD197" s="4"/>
    </row>
    <row r="198" spans="17:30" x14ac:dyDescent="0.25">
      <c r="Q198" s="13"/>
      <c r="R198" s="13"/>
      <c r="S198" s="13"/>
      <c r="T198" s="13"/>
      <c r="U198" s="3"/>
      <c r="V198" s="3"/>
      <c r="W198" s="13"/>
      <c r="X198" s="3"/>
      <c r="Y198" s="4"/>
      <c r="Z198" s="4"/>
      <c r="AA198" s="4"/>
      <c r="AB198" s="4"/>
      <c r="AC198" s="4"/>
      <c r="AD198" s="4"/>
    </row>
    <row r="199" spans="17:30" x14ac:dyDescent="0.25">
      <c r="Q199" s="4"/>
      <c r="R199" s="4"/>
      <c r="S199" s="4"/>
      <c r="T199" s="4"/>
      <c r="U199" s="3"/>
      <c r="V199" s="3"/>
      <c r="W199" s="4"/>
      <c r="X199" s="4"/>
      <c r="Y199" s="4"/>
      <c r="Z199" s="4"/>
      <c r="AA199" s="4"/>
      <c r="AB199" s="3"/>
      <c r="AC199" s="4"/>
      <c r="AD199" s="4"/>
    </row>
    <row r="200" spans="17:30" x14ac:dyDescent="0.25">
      <c r="Q200" s="4"/>
      <c r="R200" s="4"/>
      <c r="S200" s="4"/>
      <c r="T200" s="4"/>
      <c r="U200" s="4"/>
      <c r="V200" s="4"/>
      <c r="W200" s="4"/>
      <c r="X200" s="4"/>
      <c r="Y200" s="4"/>
      <c r="Z200" s="4"/>
      <c r="AA200" s="4"/>
      <c r="AB200" s="4"/>
      <c r="AC200" s="4"/>
      <c r="AD200" s="4"/>
    </row>
    <row r="201" spans="17:30" x14ac:dyDescent="0.25">
      <c r="Q201" s="4"/>
      <c r="R201" s="4"/>
      <c r="S201" s="4"/>
      <c r="T201" s="4"/>
      <c r="U201" s="4"/>
      <c r="V201" s="4"/>
      <c r="W201" s="4"/>
      <c r="X201" s="4"/>
      <c r="Y201" s="4"/>
      <c r="Z201" s="4"/>
      <c r="AA201" s="4"/>
      <c r="AB201" s="3"/>
      <c r="AC201" s="4"/>
      <c r="AD201" s="4"/>
    </row>
    <row r="202" spans="17:30" x14ac:dyDescent="0.25">
      <c r="Q202" s="4"/>
      <c r="R202" s="4"/>
      <c r="S202" s="4"/>
      <c r="T202" s="4"/>
      <c r="U202" s="4"/>
      <c r="V202" s="4"/>
      <c r="W202" s="4"/>
      <c r="X202" s="4"/>
      <c r="Y202" s="4"/>
      <c r="Z202" s="13"/>
      <c r="AA202" s="3"/>
      <c r="AB202" s="4"/>
      <c r="AC202" s="4"/>
      <c r="AD202" s="4"/>
    </row>
    <row r="203" spans="17:30" x14ac:dyDescent="0.25">
      <c r="Q203" s="4"/>
      <c r="R203" s="4"/>
      <c r="S203" s="4"/>
      <c r="T203" s="4"/>
      <c r="U203" s="4"/>
      <c r="V203" s="4"/>
      <c r="W203" s="4"/>
      <c r="X203" s="4"/>
      <c r="Y203" s="4"/>
      <c r="Z203" s="4"/>
      <c r="AA203" s="4"/>
      <c r="AB203" s="4"/>
      <c r="AC203" s="4"/>
      <c r="AD203" s="4"/>
    </row>
    <row r="204" spans="17:30" x14ac:dyDescent="0.25">
      <c r="Q204" s="4"/>
      <c r="R204" s="4"/>
      <c r="S204" s="4"/>
      <c r="T204" s="4"/>
      <c r="U204" s="4"/>
      <c r="V204" s="4"/>
      <c r="W204" s="4"/>
      <c r="X204" s="4"/>
      <c r="Y204" s="3"/>
      <c r="Z204" s="13"/>
      <c r="AA204" s="3"/>
      <c r="AB204" s="4"/>
      <c r="AC204" s="4"/>
      <c r="AD204" s="4"/>
    </row>
    <row r="205" spans="17:30" x14ac:dyDescent="0.25">
      <c r="Q205" s="4"/>
      <c r="R205" s="4"/>
      <c r="S205" s="4"/>
      <c r="T205" s="4"/>
      <c r="U205" s="4"/>
      <c r="V205" s="4"/>
      <c r="W205" s="13"/>
      <c r="X205" s="3"/>
      <c r="Y205" s="4"/>
      <c r="Z205" s="4"/>
      <c r="AA205" s="4"/>
      <c r="AB205" s="4"/>
      <c r="AC205" s="4"/>
      <c r="AD205" s="4"/>
    </row>
    <row r="206" spans="17:30" x14ac:dyDescent="0.25">
      <c r="Q206" s="4"/>
      <c r="R206" s="4"/>
      <c r="S206" s="4"/>
      <c r="T206" s="4"/>
      <c r="U206" s="4"/>
      <c r="V206" s="4"/>
      <c r="W206" s="4"/>
      <c r="X206" s="4"/>
      <c r="Y206" s="3"/>
      <c r="Z206" s="4"/>
      <c r="AA206" s="4"/>
      <c r="AB206" s="4"/>
      <c r="AC206" s="4"/>
      <c r="AD206" s="4"/>
    </row>
    <row r="207" spans="17:30" x14ac:dyDescent="0.25">
      <c r="Q207" s="4"/>
      <c r="R207" s="4"/>
      <c r="S207" s="4"/>
      <c r="T207" s="4"/>
      <c r="U207" s="4"/>
      <c r="V207" s="3"/>
      <c r="W207" s="13"/>
      <c r="X207" s="3"/>
      <c r="Y207" s="4"/>
      <c r="Z207" s="4"/>
      <c r="AA207" s="4"/>
      <c r="AB207" s="4"/>
      <c r="AC207" s="4"/>
      <c r="AD207" s="4"/>
    </row>
    <row r="208" spans="17:30" x14ac:dyDescent="0.25">
      <c r="Q208" s="13"/>
      <c r="R208" s="13"/>
      <c r="S208" s="13"/>
      <c r="T208" s="13"/>
      <c r="U208" s="3"/>
      <c r="V208" s="4"/>
      <c r="W208" s="4"/>
      <c r="X208" s="4"/>
      <c r="Y208" s="4"/>
      <c r="Z208" s="4"/>
      <c r="AA208" s="4"/>
      <c r="AB208" s="4"/>
      <c r="AC208" s="4"/>
      <c r="AD208" s="4"/>
    </row>
    <row r="209" spans="17:30" x14ac:dyDescent="0.25">
      <c r="Q209" s="4"/>
      <c r="R209" s="4"/>
      <c r="S209" s="4"/>
      <c r="T209" s="4"/>
      <c r="U209" s="4"/>
      <c r="V209" s="3"/>
      <c r="W209" s="4"/>
      <c r="X209" s="4"/>
      <c r="Y209" s="4"/>
      <c r="Z209" s="4"/>
      <c r="AA209" s="4"/>
      <c r="AB209" s="4"/>
      <c r="AC209" s="4"/>
      <c r="AD209" s="4"/>
    </row>
    <row r="210" spans="17:30" x14ac:dyDescent="0.25">
      <c r="Q210" s="13"/>
      <c r="R210" s="13"/>
      <c r="S210" s="13"/>
      <c r="T210" s="13"/>
      <c r="U210" s="3"/>
      <c r="V210" s="4"/>
      <c r="W210" s="4"/>
      <c r="X210" s="4"/>
      <c r="Y210" s="4"/>
      <c r="Z210" s="4"/>
      <c r="AA210" s="4"/>
      <c r="AB210" s="4"/>
      <c r="AC210" s="4"/>
      <c r="AD210" s="4"/>
    </row>
    <row r="211" spans="17:30" x14ac:dyDescent="0.25">
      <c r="Q211" s="4"/>
      <c r="R211" s="4"/>
      <c r="S211" s="4"/>
      <c r="T211" s="4"/>
      <c r="U211" s="4"/>
      <c r="V211" s="4"/>
      <c r="W211" s="4"/>
      <c r="X211" s="4"/>
      <c r="Y211" s="4"/>
      <c r="Z211" s="4"/>
      <c r="AA211" s="4"/>
      <c r="AB211" s="4"/>
      <c r="AC211" s="4"/>
      <c r="AD211" s="4"/>
    </row>
    <row r="212" spans="17:30" x14ac:dyDescent="0.25">
      <c r="Q212" s="4"/>
      <c r="R212" s="4"/>
      <c r="S212" s="4"/>
      <c r="T212" s="4"/>
      <c r="U212" s="4"/>
      <c r="V212" s="4"/>
      <c r="W212" s="4"/>
      <c r="X212" s="4"/>
      <c r="Y212" s="4"/>
      <c r="Z212" s="4"/>
      <c r="AA212" s="4"/>
      <c r="AB212" s="4"/>
      <c r="AC212" s="4"/>
      <c r="AD212" s="4"/>
    </row>
    <row r="213" spans="17:30" x14ac:dyDescent="0.25">
      <c r="Q213" s="4"/>
      <c r="R213" s="4"/>
      <c r="S213" s="4"/>
      <c r="T213" s="4"/>
      <c r="U213" s="4"/>
      <c r="V213" s="4"/>
      <c r="W213" s="4"/>
      <c r="X213" s="4"/>
      <c r="Y213" s="4"/>
      <c r="Z213" s="4"/>
      <c r="AA213" s="4"/>
      <c r="AB213" s="4"/>
      <c r="AC213" s="4"/>
      <c r="AD213" s="4"/>
    </row>
    <row r="214" spans="17:30" x14ac:dyDescent="0.25">
      <c r="Q214" s="4"/>
      <c r="R214" s="4"/>
      <c r="S214" s="4"/>
      <c r="T214" s="4"/>
      <c r="U214" s="4"/>
      <c r="V214" s="4"/>
      <c r="W214" s="4"/>
      <c r="X214" s="4"/>
      <c r="Y214" s="4"/>
      <c r="Z214" s="4"/>
      <c r="AA214" s="4"/>
      <c r="AB214" s="4"/>
      <c r="AC214" s="4"/>
      <c r="AD214" s="4"/>
    </row>
    <row r="215" spans="17:30" x14ac:dyDescent="0.25">
      <c r="Q215" s="4"/>
      <c r="R215" s="4"/>
      <c r="S215" s="4"/>
      <c r="T215" s="4"/>
      <c r="U215" s="4"/>
      <c r="V215" s="4"/>
      <c r="W215" s="4"/>
      <c r="X215" s="4"/>
      <c r="Y215" s="4"/>
      <c r="Z215" s="4"/>
      <c r="AA215" s="4"/>
      <c r="AB215" s="4"/>
      <c r="AC215" s="4"/>
      <c r="AD215" s="4"/>
    </row>
    <row r="216" spans="17:30" x14ac:dyDescent="0.25">
      <c r="Q216" s="4"/>
      <c r="R216" s="4"/>
      <c r="S216" s="4"/>
      <c r="T216" s="4"/>
      <c r="U216" s="4"/>
      <c r="V216" s="4"/>
      <c r="W216" s="4"/>
      <c r="X216" s="4"/>
      <c r="Y216" s="4"/>
      <c r="Z216" s="4"/>
      <c r="AA216" s="4"/>
      <c r="AB216" s="4"/>
      <c r="AC216" s="4"/>
      <c r="AD216" s="4"/>
    </row>
    <row r="217" spans="17:30" x14ac:dyDescent="0.25">
      <c r="Q217" s="4"/>
      <c r="R217" s="4"/>
      <c r="S217" s="4"/>
      <c r="T217" s="4"/>
      <c r="U217" s="4"/>
      <c r="V217" s="4"/>
      <c r="W217" s="4"/>
      <c r="X217" s="4"/>
      <c r="Y217" s="4"/>
      <c r="Z217" s="4"/>
      <c r="AA217" s="4"/>
      <c r="AB217" s="4"/>
      <c r="AC217" s="4"/>
      <c r="AD217" s="4"/>
    </row>
    <row r="218" spans="17:30" x14ac:dyDescent="0.25">
      <c r="Q218" s="4"/>
      <c r="R218" s="4"/>
      <c r="S218" s="4"/>
      <c r="T218" s="4"/>
      <c r="U218" s="4"/>
      <c r="V218" s="4"/>
      <c r="W218" s="4"/>
      <c r="X218" s="4"/>
      <c r="Y218" s="4"/>
      <c r="Z218" s="4"/>
      <c r="AA218" s="4"/>
      <c r="AB218" s="4"/>
      <c r="AC218" s="4"/>
      <c r="AD218" s="4"/>
    </row>
    <row r="219" spans="17:30" x14ac:dyDescent="0.25">
      <c r="Q219" s="4"/>
      <c r="R219" s="4"/>
      <c r="S219" s="4"/>
      <c r="T219" s="4"/>
      <c r="U219" s="4"/>
      <c r="V219" s="4"/>
      <c r="W219" s="4"/>
      <c r="X219" s="4"/>
      <c r="Y219" s="4"/>
      <c r="Z219" s="4"/>
      <c r="AA219" s="4"/>
      <c r="AB219" s="4"/>
      <c r="AC219" s="4"/>
      <c r="AD219" s="4"/>
    </row>
    <row r="220" spans="17:30" x14ac:dyDescent="0.25">
      <c r="Q220" s="4"/>
      <c r="R220" s="4"/>
      <c r="S220" s="4"/>
      <c r="T220" s="4"/>
      <c r="U220" s="4"/>
      <c r="V220" s="4"/>
      <c r="W220" s="4"/>
      <c r="X220" s="4"/>
      <c r="Y220" s="4"/>
      <c r="Z220" s="4"/>
      <c r="AA220" s="4"/>
      <c r="AB220" s="4"/>
      <c r="AC220" s="4"/>
      <c r="AD220" s="4"/>
    </row>
    <row r="221" spans="17:30" x14ac:dyDescent="0.25">
      <c r="Q221" s="4"/>
      <c r="R221" s="4"/>
      <c r="S221" s="4"/>
      <c r="T221" s="4"/>
      <c r="U221" s="4"/>
      <c r="V221" s="4"/>
      <c r="W221" s="4"/>
      <c r="X221" s="4"/>
      <c r="Y221" s="4"/>
      <c r="Z221" s="4"/>
      <c r="AA221" s="4"/>
      <c r="AB221" s="4"/>
      <c r="AC221" s="4"/>
      <c r="AD221" s="4"/>
    </row>
    <row r="222" spans="17:30" x14ac:dyDescent="0.25">
      <c r="Q222" s="4"/>
      <c r="R222" s="4"/>
      <c r="S222" s="4"/>
      <c r="T222" s="4"/>
      <c r="U222" s="4"/>
      <c r="V222" s="4"/>
      <c r="W222" s="4"/>
      <c r="X222" s="4"/>
      <c r="Y222" s="4"/>
      <c r="Z222" s="4"/>
      <c r="AA222" s="4"/>
      <c r="AB222" s="4"/>
      <c r="AC222" s="4"/>
      <c r="AD222" s="4"/>
    </row>
    <row r="223" spans="17:30" x14ac:dyDescent="0.25">
      <c r="Q223" s="4"/>
      <c r="R223" s="4"/>
      <c r="S223" s="4"/>
      <c r="T223" s="4"/>
      <c r="U223" s="4"/>
      <c r="V223" s="4"/>
      <c r="W223" s="4"/>
      <c r="X223" s="4"/>
      <c r="Y223" s="4"/>
      <c r="Z223" s="4"/>
      <c r="AA223" s="4"/>
      <c r="AB223" s="4"/>
      <c r="AC223" s="4"/>
      <c r="AD223" s="4"/>
    </row>
    <row r="224" spans="17:30" x14ac:dyDescent="0.25">
      <c r="Q224" s="4"/>
      <c r="R224" s="4"/>
      <c r="S224" s="4"/>
      <c r="T224" s="4"/>
      <c r="U224" s="4"/>
      <c r="V224" s="4"/>
      <c r="W224" s="4"/>
      <c r="X224" s="4"/>
      <c r="Y224" s="4"/>
      <c r="Z224" s="4"/>
      <c r="AA224" s="4"/>
      <c r="AB224" s="4"/>
      <c r="AC224" s="4"/>
      <c r="AD224" s="4"/>
    </row>
    <row r="225" spans="17:30" x14ac:dyDescent="0.25">
      <c r="Q225" s="4"/>
      <c r="R225" s="4"/>
      <c r="S225" s="4"/>
      <c r="T225" s="4"/>
      <c r="U225" s="4"/>
      <c r="V225" s="4"/>
      <c r="W225" s="4"/>
      <c r="X225" s="4"/>
      <c r="Y225" s="4"/>
      <c r="Z225" s="4"/>
      <c r="AA225" s="4"/>
      <c r="AB225" s="4"/>
      <c r="AC225" s="4"/>
      <c r="AD225" s="4"/>
    </row>
    <row r="226" spans="17:30" x14ac:dyDescent="0.25">
      <c r="Q226" s="4"/>
      <c r="R226" s="4"/>
      <c r="S226" s="4"/>
      <c r="T226" s="4"/>
      <c r="U226" s="4"/>
      <c r="V226" s="4"/>
      <c r="W226" s="4"/>
      <c r="X226" s="4"/>
      <c r="Y226" s="4"/>
      <c r="Z226" s="4"/>
      <c r="AA226" s="4"/>
      <c r="AB226" s="4"/>
      <c r="AC226" s="4"/>
      <c r="AD226" s="4"/>
    </row>
    <row r="227" spans="17:30" x14ac:dyDescent="0.25">
      <c r="Q227" s="4"/>
      <c r="R227" s="4"/>
      <c r="S227" s="4"/>
      <c r="T227" s="4"/>
      <c r="U227" s="4"/>
      <c r="V227" s="4"/>
      <c r="W227" s="4"/>
      <c r="X227" s="4"/>
      <c r="Y227" s="4"/>
      <c r="Z227" s="4"/>
      <c r="AA227" s="4"/>
      <c r="AB227" s="4"/>
      <c r="AC227" s="4"/>
      <c r="AD227" s="4"/>
    </row>
    <row r="228" spans="17:30" x14ac:dyDescent="0.25">
      <c r="Q228" s="4"/>
      <c r="R228" s="4"/>
      <c r="S228" s="4"/>
      <c r="T228" s="4"/>
      <c r="U228" s="4"/>
      <c r="V228" s="4"/>
      <c r="W228" s="4"/>
      <c r="X228" s="4"/>
      <c r="Y228" s="4"/>
      <c r="Z228" s="4"/>
      <c r="AA228" s="4"/>
      <c r="AB228" s="4"/>
      <c r="AC228" s="4"/>
      <c r="AD228" s="4"/>
    </row>
    <row r="229" spans="17:30" x14ac:dyDescent="0.25">
      <c r="Q229" s="4"/>
      <c r="R229" s="4"/>
      <c r="S229" s="4"/>
      <c r="T229" s="4"/>
      <c r="U229" s="4"/>
      <c r="V229" s="4"/>
      <c r="W229" s="4"/>
      <c r="X229" s="4"/>
      <c r="Y229" s="4"/>
      <c r="Z229" s="4"/>
      <c r="AA229" s="4"/>
      <c r="AB229" s="4"/>
      <c r="AC229" s="4"/>
      <c r="AD229" s="4"/>
    </row>
    <row r="230" spans="17:30" x14ac:dyDescent="0.25">
      <c r="Q230" s="4"/>
      <c r="R230" s="4"/>
      <c r="S230" s="4"/>
      <c r="T230" s="4"/>
      <c r="U230" s="4"/>
      <c r="V230" s="4"/>
      <c r="W230" s="4"/>
      <c r="X230" s="4"/>
      <c r="Y230" s="4"/>
      <c r="Z230" s="4"/>
      <c r="AA230" s="4"/>
      <c r="AB230" s="4"/>
      <c r="AC230" s="4"/>
      <c r="AD230" s="4"/>
    </row>
    <row r="231" spans="17:30" x14ac:dyDescent="0.25">
      <c r="Q231" s="4"/>
      <c r="R231" s="4"/>
      <c r="S231" s="4"/>
      <c r="T231" s="4"/>
      <c r="U231" s="4"/>
      <c r="V231" s="4"/>
      <c r="W231" s="4"/>
      <c r="X231" s="4"/>
      <c r="Y231" s="4"/>
      <c r="Z231" s="4"/>
      <c r="AA231" s="4"/>
      <c r="AB231" s="4"/>
      <c r="AC231" s="4"/>
      <c r="AD231" s="4"/>
    </row>
    <row r="232" spans="17:30" x14ac:dyDescent="0.25">
      <c r="Q232" s="4"/>
      <c r="R232" s="4"/>
      <c r="S232" s="4"/>
      <c r="T232" s="4"/>
      <c r="U232" s="4"/>
      <c r="V232" s="4"/>
      <c r="W232" s="4"/>
      <c r="X232" s="4"/>
      <c r="Y232" s="4"/>
      <c r="Z232" s="4"/>
      <c r="AA232" s="4"/>
      <c r="AB232" s="4"/>
      <c r="AC232" s="4"/>
      <c r="AD232" s="4"/>
    </row>
    <row r="233" spans="17:30" x14ac:dyDescent="0.25">
      <c r="Q233" s="4"/>
      <c r="R233" s="4"/>
      <c r="S233" s="4"/>
      <c r="T233" s="4"/>
      <c r="U233" s="4"/>
      <c r="V233" s="4"/>
      <c r="W233" s="4"/>
      <c r="X233" s="4"/>
      <c r="Y233" s="4"/>
      <c r="Z233" s="4"/>
      <c r="AA233" s="4"/>
      <c r="AB233" s="4"/>
      <c r="AC233" s="4"/>
      <c r="AD233" s="4"/>
    </row>
    <row r="234" spans="17:30" x14ac:dyDescent="0.25">
      <c r="Q234" s="4"/>
      <c r="R234" s="4"/>
      <c r="S234" s="4"/>
      <c r="T234" s="4"/>
      <c r="U234" s="4"/>
      <c r="V234" s="4"/>
      <c r="W234" s="4"/>
      <c r="X234" s="4"/>
      <c r="Y234" s="4"/>
      <c r="Z234" s="4"/>
      <c r="AA234" s="4"/>
      <c r="AB234" s="4"/>
      <c r="AC234" s="4"/>
      <c r="AD234" s="4"/>
    </row>
    <row r="235" spans="17:30" x14ac:dyDescent="0.25">
      <c r="Q235" s="4"/>
      <c r="R235" s="4"/>
      <c r="S235" s="4"/>
      <c r="T235" s="4"/>
      <c r="U235" s="4"/>
      <c r="V235" s="4"/>
      <c r="W235" s="4"/>
      <c r="X235" s="4"/>
      <c r="Y235" s="4"/>
      <c r="Z235" s="4"/>
      <c r="AA235" s="4"/>
      <c r="AB235" s="4"/>
      <c r="AC235" s="4"/>
      <c r="AD235" s="4"/>
    </row>
    <row r="236" spans="17:30" x14ac:dyDescent="0.25">
      <c r="Q236" s="4"/>
      <c r="R236" s="4"/>
      <c r="S236" s="4"/>
      <c r="T236" s="4"/>
      <c r="U236" s="4"/>
      <c r="V236" s="4"/>
      <c r="W236" s="4"/>
      <c r="X236" s="4"/>
      <c r="Y236" s="4"/>
      <c r="Z236" s="4"/>
      <c r="AA236" s="4"/>
      <c r="AB236" s="4"/>
      <c r="AC236" s="4"/>
      <c r="AD236" s="4"/>
    </row>
    <row r="237" spans="17:30" x14ac:dyDescent="0.25">
      <c r="Q237" s="4"/>
      <c r="R237" s="4"/>
      <c r="S237" s="4"/>
      <c r="T237" s="4"/>
      <c r="U237" s="4"/>
      <c r="V237" s="4"/>
      <c r="W237" s="4"/>
      <c r="X237" s="4"/>
      <c r="Y237" s="4"/>
      <c r="Z237" s="4"/>
      <c r="AA237" s="4"/>
      <c r="AB237" s="4"/>
      <c r="AC237" s="4"/>
      <c r="AD237" s="4"/>
    </row>
    <row r="238" spans="17:30" x14ac:dyDescent="0.25">
      <c r="Q238" s="4"/>
      <c r="R238" s="4"/>
      <c r="S238" s="4"/>
      <c r="T238" s="4"/>
      <c r="U238" s="4"/>
      <c r="V238" s="4"/>
      <c r="W238" s="4"/>
      <c r="X238" s="4"/>
      <c r="Y238" s="4"/>
      <c r="Z238" s="4"/>
      <c r="AA238" s="4"/>
      <c r="AB238" s="4"/>
      <c r="AC238" s="4"/>
      <c r="AD238" s="4"/>
    </row>
    <row r="239" spans="17:30" x14ac:dyDescent="0.25">
      <c r="Q239" s="4"/>
      <c r="R239" s="4"/>
      <c r="S239" s="4"/>
      <c r="T239" s="4"/>
      <c r="U239" s="4"/>
      <c r="V239" s="4"/>
      <c r="W239" s="4"/>
      <c r="X239" s="4"/>
      <c r="Y239" s="4"/>
      <c r="Z239" s="4"/>
      <c r="AA239" s="4"/>
      <c r="AB239" s="4"/>
      <c r="AC239" s="4"/>
      <c r="AD239" s="4"/>
    </row>
    <row r="240" spans="17:30" x14ac:dyDescent="0.25">
      <c r="Q240" s="4"/>
      <c r="R240" s="4"/>
      <c r="S240" s="4"/>
      <c r="T240" s="4"/>
      <c r="U240" s="4"/>
      <c r="V240" s="4"/>
      <c r="W240" s="4"/>
      <c r="X240" s="4"/>
      <c r="Y240" s="4"/>
      <c r="Z240" s="4"/>
      <c r="AA240" s="4"/>
      <c r="AB240" s="4"/>
      <c r="AC240" s="4"/>
      <c r="AD240" s="4"/>
    </row>
    <row r="241" spans="17:30" x14ac:dyDescent="0.25">
      <c r="Q241" s="4"/>
      <c r="R241" s="4"/>
      <c r="S241" s="4"/>
      <c r="T241" s="4"/>
      <c r="U241" s="4"/>
      <c r="V241" s="4"/>
      <c r="W241" s="4"/>
      <c r="X241" s="4"/>
      <c r="Y241" s="4"/>
      <c r="Z241" s="4"/>
      <c r="AA241" s="4"/>
      <c r="AB241" s="4"/>
      <c r="AC241" s="4"/>
      <c r="AD241" s="4"/>
    </row>
    <row r="242" spans="17:30" x14ac:dyDescent="0.25">
      <c r="Q242" s="4"/>
      <c r="R242" s="4"/>
      <c r="S242" s="4"/>
      <c r="T242" s="4"/>
      <c r="U242" s="4"/>
      <c r="V242" s="4"/>
      <c r="W242" s="4"/>
      <c r="X242" s="4"/>
      <c r="Y242" s="4"/>
      <c r="Z242" s="4"/>
      <c r="AA242" s="4"/>
      <c r="AB242" s="4"/>
      <c r="AC242" s="4"/>
      <c r="AD242" s="4"/>
    </row>
    <row r="243" spans="17:30" x14ac:dyDescent="0.25">
      <c r="Q243" s="4"/>
      <c r="R243" s="4"/>
      <c r="S243" s="4"/>
      <c r="T243" s="4"/>
      <c r="U243" s="4"/>
      <c r="V243" s="4"/>
      <c r="W243" s="4"/>
      <c r="X243" s="4"/>
      <c r="Y243" s="4"/>
      <c r="Z243" s="4"/>
      <c r="AA243" s="4"/>
      <c r="AB243" s="4"/>
      <c r="AC243" s="4"/>
      <c r="AD243" s="4"/>
    </row>
    <row r="244" spans="17:30" x14ac:dyDescent="0.25">
      <c r="Q244" s="4"/>
      <c r="R244" s="4"/>
      <c r="S244" s="4"/>
      <c r="T244" s="4"/>
      <c r="U244" s="4"/>
      <c r="V244" s="4"/>
      <c r="W244" s="4"/>
      <c r="X244" s="4"/>
      <c r="Y244" s="4"/>
      <c r="Z244" s="4"/>
      <c r="AA244" s="4"/>
      <c r="AB244" s="4"/>
      <c r="AC244" s="4"/>
      <c r="AD244" s="4"/>
    </row>
    <row r="245" spans="17:30" x14ac:dyDescent="0.25">
      <c r="Q245" s="4"/>
      <c r="R245" s="4"/>
      <c r="S245" s="4"/>
      <c r="T245" s="4"/>
      <c r="U245" s="4"/>
      <c r="V245" s="4"/>
      <c r="W245" s="4"/>
      <c r="X245" s="4"/>
      <c r="Y245" s="4"/>
      <c r="Z245" s="4"/>
      <c r="AA245" s="4"/>
      <c r="AB245" s="4"/>
      <c r="AC245" s="4"/>
      <c r="AD245" s="4"/>
    </row>
    <row r="246" spans="17:30" x14ac:dyDescent="0.25">
      <c r="Q246" s="4"/>
      <c r="R246" s="4"/>
      <c r="S246" s="4"/>
      <c r="T246" s="4"/>
      <c r="U246" s="4"/>
      <c r="V246" s="4"/>
      <c r="W246" s="4"/>
      <c r="X246" s="4"/>
      <c r="Y246" s="4"/>
      <c r="Z246" s="4"/>
      <c r="AA246" s="4"/>
      <c r="AB246" s="4"/>
      <c r="AC246" s="4"/>
      <c r="AD246" s="4"/>
    </row>
    <row r="247" spans="17:30" x14ac:dyDescent="0.25">
      <c r="Q247" s="4"/>
      <c r="R247" s="4"/>
      <c r="S247" s="4"/>
      <c r="T247" s="4"/>
      <c r="U247" s="4"/>
      <c r="V247" s="4"/>
      <c r="W247" s="4"/>
      <c r="X247" s="4"/>
      <c r="Y247" s="4"/>
      <c r="Z247" s="4"/>
      <c r="AA247" s="4"/>
      <c r="AB247" s="4"/>
      <c r="AC247" s="4"/>
      <c r="AD247" s="4"/>
    </row>
    <row r="248" spans="17:30" x14ac:dyDescent="0.25">
      <c r="Q248" s="4"/>
      <c r="R248" s="4"/>
      <c r="S248" s="4"/>
      <c r="T248" s="4"/>
      <c r="U248" s="4"/>
      <c r="V248" s="4"/>
      <c r="W248" s="4"/>
      <c r="X248" s="4"/>
      <c r="Y248" s="4"/>
      <c r="Z248" s="4"/>
      <c r="AA248" s="4"/>
      <c r="AB248" s="4"/>
      <c r="AC248" s="4"/>
      <c r="AD248" s="4"/>
    </row>
    <row r="249" spans="17:30" x14ac:dyDescent="0.25">
      <c r="Q249" s="4"/>
      <c r="R249" s="4"/>
      <c r="S249" s="4"/>
      <c r="T249" s="4"/>
      <c r="U249" s="4"/>
      <c r="V249" s="4"/>
      <c r="W249" s="4"/>
      <c r="X249" s="4"/>
      <c r="Y249" s="4"/>
      <c r="Z249" s="4"/>
      <c r="AA249" s="4"/>
      <c r="AB249" s="4"/>
      <c r="AC249" s="4"/>
      <c r="AD249" s="4"/>
    </row>
    <row r="250" spans="17:30" x14ac:dyDescent="0.25">
      <c r="Q250" s="4"/>
      <c r="R250" s="4"/>
      <c r="S250" s="4"/>
      <c r="T250" s="4"/>
      <c r="U250" s="4"/>
      <c r="V250" s="4"/>
      <c r="W250" s="4"/>
      <c r="X250" s="4"/>
      <c r="Y250" s="4"/>
      <c r="Z250" s="4"/>
      <c r="AA250" s="4"/>
      <c r="AB250" s="4"/>
      <c r="AC250" s="4"/>
      <c r="AD250" s="4"/>
    </row>
    <row r="251" spans="17:30" x14ac:dyDescent="0.25">
      <c r="Q251" s="4"/>
      <c r="R251" s="4"/>
      <c r="S251" s="4"/>
      <c r="T251" s="4"/>
      <c r="U251" s="4"/>
      <c r="V251" s="4"/>
      <c r="W251" s="4"/>
      <c r="X251" s="4"/>
      <c r="Y251" s="4"/>
      <c r="Z251" s="4"/>
      <c r="AA251" s="4"/>
      <c r="AB251" s="4"/>
      <c r="AC251" s="4"/>
      <c r="AD251" s="4"/>
    </row>
    <row r="252" spans="17:30" x14ac:dyDescent="0.25">
      <c r="Q252" s="4"/>
      <c r="R252" s="4"/>
      <c r="S252" s="4"/>
      <c r="T252" s="4"/>
      <c r="U252" s="4"/>
      <c r="V252" s="4"/>
      <c r="W252" s="4"/>
      <c r="X252" s="4"/>
      <c r="Y252" s="4"/>
      <c r="Z252" s="4"/>
      <c r="AA252" s="4"/>
      <c r="AB252" s="4"/>
      <c r="AC252" s="4"/>
      <c r="AD252" s="4"/>
    </row>
    <row r="253" spans="17:30" x14ac:dyDescent="0.25">
      <c r="Q253" s="4"/>
      <c r="R253" s="4"/>
      <c r="S253" s="4"/>
      <c r="T253" s="4"/>
      <c r="U253" s="4"/>
      <c r="V253" s="4"/>
      <c r="W253" s="4"/>
      <c r="X253" s="4"/>
      <c r="Y253" s="4"/>
      <c r="Z253" s="4"/>
      <c r="AA253" s="4"/>
      <c r="AB253" s="4"/>
      <c r="AC253" s="4"/>
      <c r="AD253" s="4"/>
    </row>
    <row r="254" spans="17:30" x14ac:dyDescent="0.25">
      <c r="Q254" s="4"/>
      <c r="R254" s="4"/>
      <c r="S254" s="4"/>
      <c r="T254" s="4"/>
      <c r="U254" s="4"/>
      <c r="V254" s="4"/>
      <c r="W254" s="4"/>
      <c r="X254" s="4"/>
      <c r="Y254" s="4"/>
      <c r="Z254" s="4"/>
      <c r="AA254" s="4"/>
      <c r="AB254" s="4"/>
      <c r="AC254" s="4"/>
      <c r="AD254" s="4"/>
    </row>
    <row r="255" spans="17:30" x14ac:dyDescent="0.25">
      <c r="Q255" s="4"/>
      <c r="R255" s="4"/>
      <c r="S255" s="4"/>
      <c r="T255" s="4"/>
      <c r="U255" s="4"/>
      <c r="V255" s="4"/>
      <c r="W255" s="4"/>
      <c r="X255" s="4"/>
      <c r="Y255" s="4"/>
      <c r="Z255" s="4"/>
      <c r="AA255" s="4"/>
      <c r="AB255" s="4"/>
      <c r="AC255" s="4"/>
      <c r="AD255" s="4"/>
    </row>
    <row r="256" spans="17:30" x14ac:dyDescent="0.25">
      <c r="Q256" s="4"/>
      <c r="R256" s="4"/>
      <c r="S256" s="4"/>
      <c r="T256" s="4"/>
      <c r="U256" s="4"/>
      <c r="V256" s="4"/>
      <c r="W256" s="4"/>
      <c r="X256" s="4"/>
      <c r="Y256" s="4"/>
      <c r="Z256" s="4"/>
      <c r="AA256" s="4"/>
      <c r="AB256" s="4"/>
      <c r="AC256" s="4"/>
      <c r="AD256" s="4"/>
    </row>
    <row r="257" spans="17:30" x14ac:dyDescent="0.25">
      <c r="Q257" s="4"/>
      <c r="R257" s="4"/>
      <c r="S257" s="4"/>
      <c r="T257" s="4"/>
      <c r="U257" s="4"/>
      <c r="V257" s="4"/>
      <c r="W257" s="4"/>
      <c r="X257" s="4"/>
      <c r="Y257" s="4"/>
      <c r="Z257" s="4"/>
      <c r="AA257" s="4"/>
      <c r="AB257" s="4"/>
      <c r="AC257" s="4"/>
      <c r="AD257" s="4"/>
    </row>
    <row r="258" spans="17:30" x14ac:dyDescent="0.25">
      <c r="Q258" s="4"/>
      <c r="R258" s="4"/>
      <c r="S258" s="4"/>
      <c r="T258" s="4"/>
      <c r="U258" s="4"/>
      <c r="V258" s="4"/>
      <c r="W258" s="4"/>
      <c r="X258" s="4"/>
      <c r="Y258" s="4"/>
      <c r="Z258" s="4"/>
      <c r="AA258" s="4"/>
      <c r="AB258" s="4"/>
      <c r="AC258" s="4"/>
      <c r="AD258" s="4"/>
    </row>
    <row r="259" spans="17:30" x14ac:dyDescent="0.25">
      <c r="Q259" s="4"/>
      <c r="R259" s="4"/>
      <c r="S259" s="4"/>
      <c r="T259" s="4"/>
      <c r="U259" s="4"/>
      <c r="V259" s="4"/>
      <c r="W259" s="4"/>
      <c r="X259" s="4"/>
      <c r="Y259" s="4"/>
      <c r="Z259" s="4"/>
      <c r="AA259" s="4"/>
      <c r="AB259" s="4"/>
      <c r="AC259" s="4"/>
      <c r="AD259" s="4"/>
    </row>
    <row r="260" spans="17:30" x14ac:dyDescent="0.25">
      <c r="Q260" s="4"/>
      <c r="R260" s="4"/>
      <c r="S260" s="4"/>
      <c r="T260" s="4"/>
      <c r="U260" s="4"/>
      <c r="V260" s="4"/>
      <c r="W260" s="4"/>
      <c r="X260" s="4"/>
      <c r="Y260" s="4"/>
      <c r="Z260" s="4"/>
      <c r="AA260" s="4"/>
      <c r="AB260" s="4"/>
      <c r="AC260" s="4"/>
      <c r="AD260" s="4"/>
    </row>
    <row r="261" spans="17:30" x14ac:dyDescent="0.25">
      <c r="Q261" s="4"/>
      <c r="R261" s="4"/>
      <c r="S261" s="4"/>
      <c r="T261" s="4"/>
      <c r="U261" s="4"/>
      <c r="V261" s="4"/>
      <c r="W261" s="4"/>
      <c r="X261" s="4"/>
      <c r="Y261" s="4"/>
      <c r="Z261" s="4"/>
      <c r="AA261" s="4"/>
      <c r="AB261" s="4"/>
      <c r="AC261" s="4"/>
      <c r="AD261" s="4"/>
    </row>
    <row r="262" spans="17:30" x14ac:dyDescent="0.25">
      <c r="Q262" s="4"/>
      <c r="R262" s="4"/>
      <c r="S262" s="4"/>
      <c r="T262" s="4"/>
      <c r="U262" s="4"/>
      <c r="V262" s="4"/>
      <c r="W262" s="4"/>
      <c r="X262" s="4"/>
      <c r="Y262" s="4"/>
      <c r="Z262" s="4"/>
      <c r="AA262" s="4"/>
      <c r="AB262" s="4"/>
      <c r="AC262" s="4"/>
      <c r="AD262" s="4"/>
    </row>
    <row r="263" spans="17:30" x14ac:dyDescent="0.25">
      <c r="Q263" s="4"/>
      <c r="R263" s="4"/>
      <c r="S263" s="4"/>
      <c r="T263" s="4"/>
      <c r="U263" s="4"/>
      <c r="V263" s="4"/>
      <c r="W263" s="4"/>
      <c r="X263" s="4"/>
      <c r="Y263" s="4"/>
      <c r="Z263" s="4"/>
      <c r="AA263" s="4"/>
      <c r="AB263" s="4"/>
      <c r="AC263" s="4"/>
      <c r="AD263" s="4"/>
    </row>
    <row r="264" spans="17:30" x14ac:dyDescent="0.25">
      <c r="Q264" s="4"/>
      <c r="R264" s="4"/>
      <c r="S264" s="4"/>
      <c r="T264" s="4"/>
      <c r="U264" s="4"/>
      <c r="V264" s="4"/>
      <c r="W264" s="4"/>
      <c r="X264" s="4"/>
      <c r="Y264" s="4"/>
      <c r="Z264" s="4"/>
      <c r="AA264" s="4"/>
      <c r="AB264" s="4"/>
      <c r="AC264" s="4"/>
      <c r="AD264" s="4"/>
    </row>
    <row r="265" spans="17:30" x14ac:dyDescent="0.25">
      <c r="Q265" s="4"/>
      <c r="R265" s="4"/>
      <c r="S265" s="4"/>
      <c r="T265" s="4"/>
      <c r="U265" s="4"/>
      <c r="V265" s="4"/>
      <c r="W265" s="4"/>
      <c r="X265" s="4"/>
      <c r="Y265" s="4"/>
      <c r="Z265" s="4"/>
      <c r="AA265" s="4"/>
      <c r="AB265" s="4"/>
      <c r="AC265" s="4"/>
      <c r="AD265" s="4"/>
    </row>
    <row r="266" spans="17:30" x14ac:dyDescent="0.25">
      <c r="Q266" s="4"/>
      <c r="R266" s="4"/>
      <c r="S266" s="4"/>
      <c r="T266" s="4"/>
      <c r="U266" s="4"/>
      <c r="V266" s="4"/>
      <c r="W266" s="4"/>
      <c r="X266" s="4"/>
      <c r="Y266" s="4"/>
      <c r="Z266" s="4"/>
      <c r="AA266" s="4"/>
      <c r="AB266" s="4"/>
      <c r="AC266" s="4"/>
      <c r="AD266" s="4"/>
    </row>
    <row r="267" spans="17:30" x14ac:dyDescent="0.25">
      <c r="Q267" s="4"/>
      <c r="R267" s="4"/>
      <c r="S267" s="4"/>
      <c r="T267" s="4"/>
      <c r="U267" s="4"/>
      <c r="V267" s="4"/>
      <c r="W267" s="4"/>
      <c r="X267" s="4"/>
      <c r="Y267" s="4"/>
      <c r="Z267" s="4"/>
      <c r="AA267" s="4"/>
      <c r="AB267" s="4"/>
      <c r="AC267" s="4"/>
      <c r="AD267" s="4"/>
    </row>
    <row r="268" spans="17:30" x14ac:dyDescent="0.25">
      <c r="Q268" s="4"/>
      <c r="R268" s="4"/>
      <c r="S268" s="4"/>
      <c r="T268" s="4"/>
      <c r="U268" s="4"/>
      <c r="V268" s="4"/>
      <c r="W268" s="4"/>
      <c r="X268" s="4"/>
      <c r="Y268" s="4"/>
      <c r="Z268" s="4"/>
      <c r="AA268" s="4"/>
      <c r="AB268" s="4"/>
      <c r="AC268" s="4"/>
      <c r="AD268" s="4"/>
    </row>
    <row r="269" spans="17:30" x14ac:dyDescent="0.25">
      <c r="Q269" s="4"/>
      <c r="R269" s="4"/>
      <c r="S269" s="4"/>
      <c r="T269" s="4"/>
      <c r="U269" s="4"/>
      <c r="V269" s="4"/>
      <c r="W269" s="4"/>
      <c r="X269" s="4"/>
      <c r="Y269" s="4"/>
      <c r="Z269" s="4"/>
      <c r="AA269" s="4"/>
      <c r="AB269" s="4"/>
      <c r="AC269" s="4"/>
      <c r="AD269" s="4"/>
    </row>
    <row r="270" spans="17:30" x14ac:dyDescent="0.25">
      <c r="Q270" s="4"/>
      <c r="R270" s="4"/>
      <c r="S270" s="4"/>
      <c r="T270" s="4"/>
      <c r="U270" s="4"/>
      <c r="V270" s="4"/>
      <c r="W270" s="4"/>
      <c r="X270" s="4"/>
      <c r="Y270" s="4"/>
      <c r="Z270" s="4"/>
      <c r="AA270" s="4"/>
      <c r="AB270" s="4"/>
      <c r="AC270" s="4"/>
      <c r="AD270" s="4"/>
    </row>
    <row r="271" spans="17:30" x14ac:dyDescent="0.25">
      <c r="Q271" s="4"/>
      <c r="R271" s="4"/>
      <c r="S271" s="4"/>
      <c r="T271" s="4"/>
      <c r="U271" s="4"/>
      <c r="V271" s="4"/>
      <c r="W271" s="4"/>
      <c r="X271" s="4"/>
      <c r="Y271" s="4"/>
      <c r="Z271" s="4"/>
      <c r="AA271" s="4"/>
      <c r="AB271" s="4"/>
      <c r="AC271" s="4"/>
      <c r="AD271" s="4"/>
    </row>
    <row r="272" spans="17:30" x14ac:dyDescent="0.25">
      <c r="Q272" s="4"/>
      <c r="R272" s="4"/>
      <c r="S272" s="4"/>
      <c r="T272" s="4"/>
      <c r="U272" s="4"/>
      <c r="V272" s="4"/>
      <c r="W272" s="4"/>
      <c r="X272" s="4"/>
      <c r="Y272" s="4"/>
      <c r="Z272" s="4"/>
      <c r="AA272" s="4"/>
      <c r="AB272" s="4"/>
      <c r="AC272" s="4"/>
      <c r="AD272" s="4"/>
    </row>
    <row r="273" spans="17:30" x14ac:dyDescent="0.25">
      <c r="Q273" s="4"/>
      <c r="R273" s="4"/>
      <c r="S273" s="4"/>
      <c r="T273" s="4"/>
      <c r="U273" s="4"/>
      <c r="V273" s="4"/>
      <c r="W273" s="4"/>
      <c r="X273" s="4"/>
      <c r="Y273" s="4"/>
      <c r="Z273" s="4"/>
      <c r="AA273" s="4"/>
      <c r="AB273" s="4"/>
      <c r="AC273" s="4"/>
      <c r="AD273" s="4"/>
    </row>
    <row r="274" spans="17:30" x14ac:dyDescent="0.25">
      <c r="Q274" s="4"/>
      <c r="R274" s="4"/>
      <c r="S274" s="4"/>
      <c r="T274" s="4"/>
      <c r="U274" s="4"/>
      <c r="V274" s="4"/>
      <c r="W274" s="4"/>
      <c r="X274" s="4"/>
      <c r="Y274" s="4"/>
      <c r="Z274" s="4"/>
      <c r="AA274" s="4"/>
      <c r="AB274" s="4"/>
      <c r="AC274" s="4"/>
      <c r="AD274" s="4"/>
    </row>
    <row r="275" spans="17:30" x14ac:dyDescent="0.25">
      <c r="Q275" s="4"/>
      <c r="R275" s="4"/>
      <c r="S275" s="4"/>
      <c r="T275" s="4"/>
      <c r="U275" s="4"/>
      <c r="V275" s="4"/>
      <c r="W275" s="4"/>
      <c r="X275" s="4"/>
      <c r="Y275" s="4"/>
      <c r="Z275" s="4"/>
      <c r="AA275" s="4"/>
      <c r="AB275" s="4"/>
      <c r="AC275" s="4"/>
      <c r="AD275" s="4"/>
    </row>
    <row r="276" spans="17:30" x14ac:dyDescent="0.25">
      <c r="Q276" s="4"/>
      <c r="R276" s="4"/>
      <c r="S276" s="4"/>
      <c r="T276" s="4"/>
      <c r="U276" s="4"/>
      <c r="V276" s="4"/>
      <c r="W276" s="4"/>
      <c r="X276" s="4"/>
      <c r="Y276" s="4"/>
      <c r="Z276" s="4"/>
      <c r="AA276" s="4"/>
      <c r="AB276" s="4"/>
      <c r="AC276" s="4"/>
      <c r="AD276" s="4"/>
    </row>
    <row r="277" spans="17:30" x14ac:dyDescent="0.25">
      <c r="Q277" s="4"/>
      <c r="R277" s="4"/>
      <c r="S277" s="4"/>
      <c r="T277" s="4"/>
      <c r="U277" s="4"/>
      <c r="V277" s="4"/>
      <c r="W277" s="4"/>
      <c r="X277" s="4"/>
      <c r="Y277" s="4"/>
      <c r="Z277" s="4"/>
      <c r="AA277" s="4"/>
      <c r="AB277" s="4"/>
      <c r="AC277" s="4"/>
      <c r="AD277" s="4"/>
    </row>
    <row r="278" spans="17:30" x14ac:dyDescent="0.25">
      <c r="Q278" s="4"/>
      <c r="R278" s="4"/>
      <c r="S278" s="4"/>
      <c r="T278" s="4"/>
      <c r="U278" s="4"/>
      <c r="V278" s="4"/>
      <c r="W278" s="4"/>
      <c r="X278" s="4"/>
      <c r="Y278" s="4"/>
      <c r="Z278" s="4"/>
      <c r="AA278" s="4"/>
      <c r="AB278" s="4"/>
      <c r="AC278" s="4"/>
      <c r="AD278" s="4"/>
    </row>
    <row r="279" spans="17:30" x14ac:dyDescent="0.25">
      <c r="Q279" s="4"/>
      <c r="R279" s="4"/>
      <c r="S279" s="4"/>
      <c r="T279" s="4"/>
      <c r="U279" s="4"/>
      <c r="V279" s="4"/>
      <c r="W279" s="4"/>
      <c r="X279" s="4"/>
      <c r="Y279" s="4"/>
      <c r="Z279" s="4"/>
      <c r="AA279" s="4"/>
      <c r="AB279" s="4"/>
      <c r="AC279" s="4"/>
      <c r="AD279" s="4"/>
    </row>
    <row r="280" spans="17:30" x14ac:dyDescent="0.25">
      <c r="Q280" s="4"/>
      <c r="R280" s="4"/>
      <c r="S280" s="4"/>
      <c r="T280" s="4"/>
      <c r="U280" s="4"/>
      <c r="V280" s="4"/>
      <c r="W280" s="4"/>
      <c r="X280" s="4"/>
      <c r="Y280" s="4"/>
      <c r="Z280" s="4"/>
      <c r="AA280" s="4"/>
      <c r="AB280" s="4"/>
      <c r="AC280" s="4"/>
      <c r="AD280" s="4"/>
    </row>
    <row r="281" spans="17:30" x14ac:dyDescent="0.25">
      <c r="Q281" s="4"/>
      <c r="R281" s="4"/>
      <c r="S281" s="4"/>
      <c r="T281" s="4"/>
      <c r="U281" s="4"/>
      <c r="V281" s="4"/>
      <c r="W281" s="4"/>
      <c r="X281" s="4"/>
      <c r="Y281" s="4"/>
      <c r="Z281" s="4"/>
      <c r="AA281" s="4"/>
      <c r="AB281" s="4"/>
      <c r="AC281" s="4"/>
      <c r="AD281" s="4"/>
    </row>
    <row r="282" spans="17:30" x14ac:dyDescent="0.25">
      <c r="Q282" s="4"/>
      <c r="R282" s="4"/>
      <c r="S282" s="4"/>
      <c r="T282" s="4"/>
      <c r="U282" s="4"/>
      <c r="V282" s="4"/>
      <c r="W282" s="4"/>
      <c r="X282" s="4"/>
      <c r="Y282" s="4"/>
      <c r="Z282" s="4"/>
      <c r="AA282" s="4"/>
      <c r="AB282" s="4"/>
      <c r="AC282" s="4"/>
      <c r="AD282" s="4"/>
    </row>
    <row r="283" spans="17:30" x14ac:dyDescent="0.25">
      <c r="Q283" s="4"/>
      <c r="R283" s="4"/>
      <c r="S283" s="4"/>
      <c r="T283" s="4"/>
      <c r="U283" s="4"/>
      <c r="V283" s="4"/>
      <c r="W283" s="4"/>
      <c r="X283" s="4"/>
      <c r="Y283" s="4"/>
      <c r="Z283" s="4"/>
      <c r="AA283" s="4"/>
      <c r="AB283" s="4"/>
      <c r="AC283" s="4"/>
      <c r="AD283" s="4"/>
    </row>
    <row r="284" spans="17:30" x14ac:dyDescent="0.25">
      <c r="Q284" s="4"/>
      <c r="R284" s="4"/>
      <c r="S284" s="4"/>
      <c r="T284" s="4"/>
      <c r="U284" s="4"/>
      <c r="V284" s="4"/>
      <c r="W284" s="4"/>
      <c r="X284" s="4"/>
      <c r="Y284" s="4"/>
      <c r="Z284" s="4"/>
      <c r="AA284" s="4"/>
      <c r="AB284" s="4"/>
      <c r="AC284" s="4"/>
      <c r="AD284" s="4"/>
    </row>
    <row r="285" spans="17:30" x14ac:dyDescent="0.25">
      <c r="Q285" s="4"/>
      <c r="R285" s="4"/>
      <c r="S285" s="4"/>
      <c r="T285" s="4"/>
      <c r="U285" s="4"/>
      <c r="V285" s="4"/>
      <c r="W285" s="4"/>
      <c r="X285" s="4"/>
      <c r="Y285" s="4"/>
      <c r="Z285" s="4"/>
      <c r="AA285" s="4"/>
      <c r="AB285" s="4"/>
      <c r="AC285" s="4"/>
      <c r="AD285" s="4"/>
    </row>
    <row r="286" spans="17:30" x14ac:dyDescent="0.25">
      <c r="Q286" s="4"/>
      <c r="R286" s="4"/>
      <c r="S286" s="4"/>
      <c r="T286" s="4"/>
      <c r="U286" s="4"/>
      <c r="V286" s="4"/>
      <c r="W286" s="4"/>
      <c r="X286" s="4"/>
      <c r="Y286" s="4"/>
      <c r="Z286" s="4"/>
      <c r="AA286" s="4"/>
      <c r="AB286" s="4"/>
      <c r="AC286" s="4"/>
      <c r="AD286" s="4"/>
    </row>
    <row r="287" spans="17:30" x14ac:dyDescent="0.25">
      <c r="Q287" s="4"/>
      <c r="R287" s="4"/>
      <c r="S287" s="4"/>
      <c r="T287" s="4"/>
      <c r="U287" s="4"/>
      <c r="V287" s="4"/>
      <c r="W287" s="4"/>
      <c r="X287" s="4"/>
      <c r="Y287" s="4"/>
      <c r="Z287" s="4"/>
      <c r="AA287" s="4"/>
      <c r="AB287" s="4"/>
      <c r="AC287" s="4"/>
      <c r="AD287" s="4"/>
    </row>
    <row r="288" spans="17:30" x14ac:dyDescent="0.25">
      <c r="Q288" s="4"/>
      <c r="R288" s="4"/>
      <c r="S288" s="4"/>
      <c r="T288" s="4"/>
      <c r="U288" s="4"/>
      <c r="V288" s="4"/>
      <c r="W288" s="4"/>
      <c r="X288" s="4"/>
      <c r="Y288" s="4"/>
      <c r="Z288" s="4"/>
      <c r="AA288" s="4"/>
      <c r="AB288" s="4"/>
      <c r="AC288" s="4"/>
      <c r="AD288" s="4"/>
    </row>
    <row r="289" spans="17:29" x14ac:dyDescent="0.25">
      <c r="Q289" s="4"/>
      <c r="R289" s="4"/>
      <c r="S289" s="4"/>
      <c r="T289" s="4"/>
      <c r="U289" s="4"/>
      <c r="V289" s="4"/>
      <c r="W289" s="4"/>
      <c r="X289" s="4"/>
      <c r="Y289" s="4"/>
      <c r="Z289" s="4"/>
      <c r="AA289" s="4"/>
      <c r="AB289" s="4"/>
      <c r="AC289" s="4"/>
    </row>
    <row r="290" spans="17:29" x14ac:dyDescent="0.25">
      <c r="Q290" s="4"/>
      <c r="R290" s="4"/>
      <c r="S290" s="4"/>
      <c r="T290" s="4"/>
      <c r="U290" s="4"/>
      <c r="V290" s="4"/>
      <c r="W290" s="4"/>
      <c r="X290" s="4"/>
      <c r="Y290" s="4"/>
      <c r="Z290" s="4"/>
      <c r="AA290" s="4"/>
      <c r="AB290" s="4"/>
      <c r="AC290" s="4"/>
    </row>
    <row r="291" spans="17:29" x14ac:dyDescent="0.25">
      <c r="Q291" s="4"/>
      <c r="R291" s="4"/>
      <c r="S291" s="4"/>
      <c r="T291" s="4"/>
      <c r="U291" s="4"/>
      <c r="V291" s="4"/>
      <c r="W291" s="4"/>
      <c r="X291" s="4"/>
      <c r="Y291" s="4"/>
      <c r="Z291" s="4"/>
      <c r="AA291" s="4"/>
      <c r="AB291" s="4"/>
      <c r="AC291" s="4"/>
    </row>
    <row r="292" spans="17:29" x14ac:dyDescent="0.25">
      <c r="Q292" s="4"/>
      <c r="R292" s="4"/>
      <c r="S292" s="4"/>
      <c r="T292" s="4"/>
      <c r="U292" s="4"/>
      <c r="V292" s="4"/>
      <c r="W292" s="4"/>
      <c r="X292" s="4"/>
      <c r="Y292" s="4"/>
      <c r="Z292" s="4"/>
      <c r="AA292" s="4"/>
      <c r="AB292" s="4"/>
      <c r="AC292" s="4"/>
    </row>
    <row r="293" spans="17:29" x14ac:dyDescent="0.25">
      <c r="Q293" s="4"/>
      <c r="R293" s="4"/>
      <c r="S293" s="4"/>
      <c r="T293" s="4"/>
      <c r="U293" s="4"/>
      <c r="V293" s="4"/>
      <c r="W293" s="4"/>
      <c r="X293" s="4"/>
      <c r="Y293" s="4"/>
      <c r="Z293" s="4"/>
      <c r="AA293" s="4"/>
      <c r="AB293" s="4"/>
      <c r="AC293" s="4"/>
    </row>
    <row r="294" spans="17:29" x14ac:dyDescent="0.25">
      <c r="Q294" s="4"/>
      <c r="R294" s="4"/>
      <c r="S294" s="4"/>
      <c r="T294" s="4"/>
      <c r="U294" s="4"/>
      <c r="V294" s="4"/>
      <c r="W294" s="4"/>
      <c r="X294" s="4"/>
      <c r="Y294" s="4"/>
      <c r="Z294" s="4"/>
      <c r="AA294" s="4"/>
      <c r="AB294" s="4"/>
      <c r="AC294" s="4"/>
    </row>
    <row r="295" spans="17:29" x14ac:dyDescent="0.25">
      <c r="Q295" s="4"/>
      <c r="R295" s="4"/>
      <c r="S295" s="4"/>
      <c r="T295" s="4"/>
      <c r="U295" s="4"/>
      <c r="V295" s="4"/>
      <c r="W295" s="4"/>
      <c r="X295" s="4"/>
      <c r="Y295" s="4"/>
      <c r="Z295" s="4"/>
      <c r="AA295" s="4"/>
      <c r="AB295" s="4"/>
      <c r="AC295" s="4"/>
    </row>
    <row r="296" spans="17:29" x14ac:dyDescent="0.25">
      <c r="Q296" s="4"/>
      <c r="R296" s="4"/>
      <c r="S296" s="4"/>
      <c r="T296" s="4"/>
      <c r="U296" s="4"/>
      <c r="V296" s="4"/>
      <c r="W296" s="4"/>
      <c r="X296" s="4"/>
      <c r="Y296" s="4"/>
      <c r="Z296" s="4"/>
      <c r="AA296" s="4"/>
      <c r="AB296" s="4"/>
      <c r="AC296" s="4"/>
    </row>
    <row r="297" spans="17:29" x14ac:dyDescent="0.25">
      <c r="Q297" s="4"/>
      <c r="R297" s="4"/>
      <c r="S297" s="4"/>
      <c r="T297" s="4"/>
      <c r="U297" s="4"/>
      <c r="V297" s="4"/>
      <c r="W297" s="4"/>
      <c r="X297" s="4"/>
      <c r="Y297" s="4"/>
      <c r="Z297" s="4"/>
      <c r="AA297" s="4"/>
      <c r="AB297" s="4"/>
      <c r="AC297" s="4"/>
    </row>
    <row r="298" spans="17:29" x14ac:dyDescent="0.25">
      <c r="Q298" s="4"/>
      <c r="R298" s="4"/>
      <c r="S298" s="4"/>
      <c r="T298" s="4"/>
      <c r="U298" s="4"/>
      <c r="V298" s="4"/>
      <c r="W298" s="4"/>
      <c r="X298" s="4"/>
      <c r="Y298" s="4"/>
      <c r="Z298" s="4"/>
      <c r="AA298" s="4"/>
      <c r="AB298" s="4"/>
      <c r="AC298" s="4"/>
    </row>
    <row r="299" spans="17:29" x14ac:dyDescent="0.25">
      <c r="Q299" s="4"/>
      <c r="R299" s="4"/>
      <c r="S299" s="4"/>
      <c r="T299" s="4"/>
      <c r="U299" s="4"/>
      <c r="V299" s="4"/>
      <c r="W299" s="4"/>
      <c r="X299" s="4"/>
      <c r="Y299" s="4"/>
      <c r="Z299" s="4"/>
      <c r="AA299" s="4"/>
      <c r="AB299" s="4"/>
      <c r="AC299" s="4"/>
    </row>
    <row r="300" spans="17:29" x14ac:dyDescent="0.25">
      <c r="Q300" s="4"/>
      <c r="R300" s="4"/>
      <c r="S300" s="4"/>
      <c r="T300" s="4"/>
      <c r="U300" s="4"/>
      <c r="V300" s="4"/>
      <c r="W300" s="4"/>
      <c r="X300" s="4"/>
      <c r="Y300" s="4"/>
      <c r="Z300" s="4"/>
      <c r="AA300" s="4"/>
      <c r="AB300" s="4"/>
      <c r="AC300" s="4"/>
    </row>
    <row r="301" spans="17:29" x14ac:dyDescent="0.25">
      <c r="Q301" s="4"/>
      <c r="R301" s="4"/>
      <c r="S301" s="4"/>
      <c r="T301" s="4"/>
      <c r="U301" s="4"/>
      <c r="V301" s="4"/>
      <c r="W301" s="4"/>
      <c r="X301" s="4"/>
      <c r="Y301" s="4"/>
      <c r="Z301" s="4"/>
      <c r="AA301" s="4"/>
      <c r="AB301" s="4"/>
      <c r="AC301" s="4"/>
    </row>
    <row r="302" spans="17:29" x14ac:dyDescent="0.25">
      <c r="Q302" s="4"/>
      <c r="R302" s="4"/>
      <c r="S302" s="4"/>
      <c r="T302" s="4"/>
      <c r="U302" s="4"/>
      <c r="V302" s="4"/>
      <c r="W302" s="4"/>
      <c r="X302" s="4"/>
      <c r="Y302" s="4"/>
      <c r="Z302" s="4"/>
      <c r="AA302" s="4"/>
      <c r="AB302" s="4"/>
      <c r="AC302" s="4"/>
    </row>
    <row r="303" spans="17:29" x14ac:dyDescent="0.25">
      <c r="Q303" s="4"/>
      <c r="R303" s="4"/>
      <c r="S303" s="4"/>
      <c r="T303" s="4"/>
      <c r="U303" s="4"/>
      <c r="V303" s="4"/>
      <c r="W303" s="4"/>
      <c r="X303" s="4"/>
      <c r="Y303" s="4"/>
      <c r="Z303" s="4"/>
      <c r="AA303" s="4"/>
      <c r="AB303" s="4"/>
      <c r="AC303" s="4"/>
    </row>
    <row r="304" spans="17:29" x14ac:dyDescent="0.25">
      <c r="Q304" s="4"/>
      <c r="R304" s="4"/>
      <c r="S304" s="4"/>
      <c r="T304" s="4"/>
      <c r="U304" s="4"/>
      <c r="V304" s="4"/>
      <c r="W304" s="4"/>
      <c r="X304" s="4"/>
      <c r="Y304" s="4"/>
      <c r="Z304" s="4"/>
      <c r="AA304" s="4"/>
      <c r="AB304" s="4"/>
      <c r="AC304" s="4"/>
    </row>
    <row r="305" spans="17:29" x14ac:dyDescent="0.25">
      <c r="Q305" s="4"/>
      <c r="R305" s="4"/>
      <c r="S305" s="4"/>
      <c r="T305" s="4"/>
      <c r="U305" s="4"/>
      <c r="V305" s="4"/>
      <c r="W305" s="4"/>
      <c r="X305" s="4"/>
      <c r="Y305" s="4"/>
      <c r="Z305" s="4"/>
      <c r="AA305" s="4"/>
      <c r="AB305" s="4"/>
      <c r="AC305" s="4"/>
    </row>
    <row r="306" spans="17:29" x14ac:dyDescent="0.25">
      <c r="Q306" s="4"/>
      <c r="R306" s="4"/>
      <c r="S306" s="4"/>
      <c r="T306" s="4"/>
      <c r="U306" s="4"/>
      <c r="V306" s="4"/>
      <c r="W306" s="4"/>
      <c r="X306" s="4"/>
      <c r="Y306" s="4"/>
      <c r="Z306" s="4"/>
      <c r="AA306" s="4"/>
      <c r="AB306" s="4"/>
      <c r="AC306" s="4"/>
    </row>
    <row r="307" spans="17:29" x14ac:dyDescent="0.25">
      <c r="Q307" s="4"/>
      <c r="R307" s="4"/>
      <c r="S307" s="4"/>
      <c r="T307" s="4"/>
      <c r="U307" s="4"/>
      <c r="V307" s="4"/>
      <c r="W307" s="4"/>
      <c r="X307" s="4"/>
      <c r="Y307" s="4"/>
      <c r="Z307" s="4"/>
      <c r="AA307" s="4"/>
      <c r="AB307" s="4"/>
      <c r="AC307" s="4"/>
    </row>
    <row r="308" spans="17:29" x14ac:dyDescent="0.25">
      <c r="Q308" s="4"/>
      <c r="R308" s="4"/>
      <c r="S308" s="4"/>
      <c r="T308" s="4"/>
      <c r="U308" s="4"/>
      <c r="V308" s="4"/>
      <c r="W308" s="4"/>
      <c r="X308" s="4"/>
      <c r="Y308" s="4"/>
      <c r="Z308" s="4"/>
      <c r="AA308" s="4"/>
      <c r="AB308" s="4"/>
      <c r="AC308" s="4"/>
    </row>
    <row r="309" spans="17:29" x14ac:dyDescent="0.25">
      <c r="Q309" s="4"/>
      <c r="R309" s="4"/>
      <c r="S309" s="4"/>
      <c r="T309" s="4"/>
      <c r="U309" s="4"/>
      <c r="V309" s="4"/>
      <c r="W309" s="4"/>
      <c r="X309" s="4"/>
      <c r="Y309" s="4"/>
      <c r="Z309" s="4"/>
      <c r="AA309" s="4"/>
      <c r="AB309" s="4"/>
      <c r="AC309" s="4"/>
    </row>
    <row r="310" spans="17:29" x14ac:dyDescent="0.25">
      <c r="Q310" s="4"/>
      <c r="R310" s="4"/>
      <c r="S310" s="4"/>
      <c r="T310" s="4"/>
      <c r="U310" s="4"/>
      <c r="V310" s="4"/>
      <c r="W310" s="4"/>
      <c r="X310" s="4"/>
      <c r="Y310" s="4"/>
      <c r="Z310" s="4"/>
      <c r="AA310" s="4"/>
      <c r="AB310" s="4"/>
      <c r="AC310" s="4"/>
    </row>
    <row r="311" spans="17:29" x14ac:dyDescent="0.25">
      <c r="Q311" s="4"/>
      <c r="R311" s="4"/>
      <c r="S311" s="4"/>
      <c r="T311" s="4"/>
      <c r="U311" s="4"/>
      <c r="V311" s="4"/>
      <c r="W311" s="4"/>
      <c r="X311" s="4"/>
      <c r="Y311" s="4"/>
      <c r="Z311" s="4"/>
      <c r="AA311" s="4"/>
      <c r="AB311" s="4"/>
      <c r="AC311" s="4"/>
    </row>
    <row r="312" spans="17:29" x14ac:dyDescent="0.25">
      <c r="Q312" s="4"/>
      <c r="R312" s="4"/>
      <c r="S312" s="4"/>
      <c r="T312" s="4"/>
      <c r="U312" s="4"/>
      <c r="V312" s="4"/>
      <c r="W312" s="4"/>
      <c r="X312" s="4"/>
      <c r="Y312" s="4"/>
      <c r="Z312" s="4"/>
      <c r="AA312" s="4"/>
      <c r="AB312" s="4"/>
      <c r="AC312" s="4"/>
    </row>
    <row r="313" spans="17:29" x14ac:dyDescent="0.25">
      <c r="Q313" s="4"/>
      <c r="R313" s="4"/>
      <c r="S313" s="4"/>
      <c r="T313" s="4"/>
      <c r="U313" s="4"/>
      <c r="V313" s="4"/>
      <c r="W313" s="4"/>
      <c r="X313" s="4"/>
      <c r="Y313" s="4"/>
      <c r="Z313" s="4"/>
      <c r="AA313" s="4"/>
      <c r="AB313" s="4"/>
      <c r="AC313" s="4"/>
    </row>
    <row r="314" spans="17:29" x14ac:dyDescent="0.25">
      <c r="Q314" s="4"/>
      <c r="R314" s="4"/>
      <c r="S314" s="4"/>
      <c r="T314" s="4"/>
      <c r="U314" s="4"/>
      <c r="V314" s="4"/>
      <c r="W314" s="4"/>
      <c r="X314" s="4"/>
      <c r="Y314" s="4"/>
      <c r="Z314" s="4"/>
      <c r="AA314" s="4"/>
      <c r="AB314" s="4"/>
      <c r="AC314" s="4"/>
    </row>
    <row r="315" spans="17:29" x14ac:dyDescent="0.25">
      <c r="Q315" s="4"/>
      <c r="R315" s="4"/>
      <c r="S315" s="4"/>
      <c r="T315" s="4"/>
      <c r="U315" s="4"/>
      <c r="V315" s="4"/>
      <c r="W315" s="4"/>
      <c r="X315" s="4"/>
      <c r="Y315" s="4"/>
      <c r="Z315" s="4"/>
      <c r="AA315" s="4"/>
      <c r="AB315" s="4"/>
      <c r="AC315" s="4"/>
    </row>
    <row r="316" spans="17:29" x14ac:dyDescent="0.25">
      <c r="Q316" s="4"/>
      <c r="R316" s="4"/>
      <c r="S316" s="4"/>
      <c r="T316" s="4"/>
      <c r="U316" s="4"/>
      <c r="V316" s="4"/>
      <c r="W316" s="4"/>
      <c r="X316" s="4"/>
      <c r="Y316" s="4"/>
      <c r="Z316" s="4"/>
      <c r="AA316" s="4"/>
      <c r="AB316" s="4"/>
      <c r="AC316" s="4"/>
    </row>
    <row r="317" spans="17:29" x14ac:dyDescent="0.25">
      <c r="Q317" s="4"/>
      <c r="R317" s="4"/>
      <c r="S317" s="4"/>
      <c r="T317" s="4"/>
      <c r="U317" s="4"/>
      <c r="V317" s="4"/>
      <c r="W317" s="4"/>
      <c r="X317" s="4"/>
      <c r="Y317" s="4"/>
      <c r="Z317" s="4"/>
      <c r="AA317" s="4"/>
      <c r="AB317" s="4"/>
      <c r="AC317" s="4"/>
    </row>
    <row r="318" spans="17:29" x14ac:dyDescent="0.25">
      <c r="Q318" s="4"/>
      <c r="R318" s="4"/>
      <c r="S318" s="4"/>
      <c r="T318" s="4"/>
      <c r="U318" s="4"/>
      <c r="V318" s="4"/>
      <c r="W318" s="4"/>
      <c r="X318" s="4"/>
      <c r="Y318" s="4"/>
      <c r="Z318" s="4"/>
      <c r="AA318" s="4"/>
      <c r="AB318" s="4"/>
      <c r="AC318" s="4"/>
    </row>
    <row r="319" spans="17:29" x14ac:dyDescent="0.25">
      <c r="Q319" s="4"/>
      <c r="R319" s="4"/>
      <c r="S319" s="4"/>
      <c r="T319" s="4"/>
      <c r="U319" s="4"/>
      <c r="V319" s="4"/>
      <c r="W319" s="4"/>
      <c r="X319" s="4"/>
      <c r="Y319" s="4"/>
      <c r="Z319" s="4"/>
      <c r="AA319" s="4"/>
      <c r="AB319" s="4"/>
      <c r="AC319" s="4"/>
    </row>
    <row r="320" spans="17:29" x14ac:dyDescent="0.25">
      <c r="Q320" s="4"/>
      <c r="R320" s="4"/>
      <c r="S320" s="4"/>
      <c r="T320" s="4"/>
      <c r="U320" s="4"/>
      <c r="V320" s="4"/>
      <c r="W320" s="4"/>
      <c r="X320" s="4"/>
      <c r="Y320" s="4"/>
      <c r="Z320" s="4"/>
      <c r="AA320" s="4"/>
      <c r="AB320" s="4"/>
      <c r="AC320" s="4"/>
    </row>
    <row r="321" spans="17:29" x14ac:dyDescent="0.25">
      <c r="Q321" s="4"/>
      <c r="R321" s="4"/>
      <c r="S321" s="4"/>
      <c r="T321" s="4"/>
      <c r="U321" s="4"/>
      <c r="V321" s="4"/>
      <c r="W321" s="4"/>
      <c r="X321" s="4"/>
      <c r="Y321" s="4"/>
      <c r="Z321" s="4"/>
      <c r="AA321" s="4"/>
      <c r="AB321" s="4"/>
      <c r="AC321" s="4"/>
    </row>
    <row r="322" spans="17:29" x14ac:dyDescent="0.25">
      <c r="Q322" s="4"/>
      <c r="R322" s="4"/>
      <c r="S322" s="4"/>
      <c r="T322" s="4"/>
      <c r="U322" s="4"/>
      <c r="V322" s="4"/>
      <c r="W322" s="4"/>
      <c r="X322" s="4"/>
      <c r="Y322" s="4"/>
      <c r="Z322" s="4"/>
      <c r="AA322" s="4"/>
      <c r="AB322" s="4"/>
      <c r="AC322" s="4"/>
    </row>
    <row r="323" spans="17:29" x14ac:dyDescent="0.25">
      <c r="Q323" s="4"/>
      <c r="R323" s="4"/>
      <c r="S323" s="4"/>
      <c r="T323" s="4"/>
      <c r="U323" s="4"/>
      <c r="V323" s="4"/>
      <c r="W323" s="4"/>
      <c r="X323" s="4"/>
      <c r="Y323" s="4"/>
      <c r="Z323" s="4"/>
      <c r="AA323" s="4"/>
      <c r="AB323" s="4"/>
      <c r="AC323" s="4"/>
    </row>
    <row r="324" spans="17:29" x14ac:dyDescent="0.25">
      <c r="Q324" s="4"/>
      <c r="R324" s="4"/>
      <c r="S324" s="4"/>
      <c r="T324" s="4"/>
      <c r="U324" s="4"/>
      <c r="V324" s="4"/>
      <c r="W324" s="4"/>
      <c r="X324" s="4"/>
      <c r="Y324" s="4"/>
      <c r="Z324" s="4"/>
      <c r="AA324" s="4"/>
      <c r="AB324" s="4"/>
      <c r="AC324" s="4"/>
    </row>
    <row r="325" spans="17:29" x14ac:dyDescent="0.25">
      <c r="Q325" s="4"/>
      <c r="R325" s="4"/>
      <c r="S325" s="4"/>
      <c r="T325" s="4"/>
      <c r="U325" s="4"/>
      <c r="V325" s="4"/>
      <c r="W325" s="4"/>
      <c r="X325" s="4"/>
      <c r="Y325" s="4"/>
      <c r="Z325" s="4"/>
      <c r="AA325" s="4"/>
      <c r="AB325" s="4"/>
      <c r="AC325" s="4"/>
    </row>
    <row r="326" spans="17:29" x14ac:dyDescent="0.25">
      <c r="Q326" s="4"/>
      <c r="R326" s="4"/>
      <c r="S326" s="4"/>
      <c r="T326" s="4"/>
      <c r="U326" s="4"/>
      <c r="V326" s="4"/>
      <c r="W326" s="4"/>
      <c r="X326" s="4"/>
      <c r="Y326" s="4"/>
      <c r="Z326" s="4"/>
      <c r="AA326" s="4"/>
      <c r="AB326" s="4"/>
      <c r="AC326" s="4"/>
    </row>
    <row r="327" spans="17:29" x14ac:dyDescent="0.25">
      <c r="Q327" s="4"/>
      <c r="R327" s="4"/>
      <c r="S327" s="4"/>
      <c r="T327" s="4"/>
      <c r="U327" s="4"/>
      <c r="V327" s="4"/>
      <c r="W327" s="4"/>
      <c r="X327" s="4"/>
      <c r="Y327" s="4"/>
      <c r="Z327" s="4"/>
      <c r="AA327" s="4"/>
      <c r="AB327" s="4"/>
      <c r="AC327" s="4"/>
    </row>
    <row r="328" spans="17:29" x14ac:dyDescent="0.25">
      <c r="Q328" s="4"/>
      <c r="R328" s="4"/>
      <c r="S328" s="4"/>
      <c r="T328" s="4"/>
      <c r="U328" s="4"/>
      <c r="V328" s="4"/>
      <c r="W328" s="4"/>
      <c r="X328" s="4"/>
      <c r="Y328" s="4"/>
      <c r="Z328" s="4"/>
      <c r="AA328" s="4"/>
      <c r="AB328" s="4"/>
      <c r="AC328" s="4"/>
    </row>
    <row r="329" spans="17:29" x14ac:dyDescent="0.25">
      <c r="Q329" s="4"/>
      <c r="R329" s="4"/>
      <c r="S329" s="4"/>
      <c r="T329" s="4"/>
      <c r="U329" s="4"/>
      <c r="V329" s="4"/>
      <c r="W329" s="4"/>
      <c r="X329" s="4"/>
      <c r="Y329" s="4"/>
      <c r="Z329" s="4"/>
      <c r="AA329" s="4"/>
      <c r="AB329" s="4"/>
      <c r="AC329" s="4"/>
    </row>
    <row r="330" spans="17:29" x14ac:dyDescent="0.25">
      <c r="Q330" s="4"/>
      <c r="R330" s="4"/>
      <c r="S330" s="4"/>
      <c r="T330" s="4"/>
      <c r="U330" s="4"/>
      <c r="V330" s="4"/>
      <c r="W330" s="4"/>
      <c r="X330" s="4"/>
      <c r="Y330" s="4"/>
      <c r="Z330" s="4"/>
      <c r="AA330" s="4"/>
      <c r="AB330" s="4"/>
      <c r="AC330" s="4"/>
    </row>
    <row r="331" spans="17:29" x14ac:dyDescent="0.25">
      <c r="Q331" s="4"/>
      <c r="R331" s="4"/>
      <c r="S331" s="4"/>
      <c r="T331" s="4"/>
      <c r="U331" s="4"/>
      <c r="V331" s="4"/>
      <c r="W331" s="4"/>
      <c r="X331" s="4"/>
      <c r="Y331" s="4"/>
      <c r="Z331" s="4"/>
      <c r="AA331" s="4"/>
      <c r="AB331" s="4"/>
      <c r="AC331" s="4"/>
    </row>
    <row r="332" spans="17:29" x14ac:dyDescent="0.25">
      <c r="Q332" s="4"/>
      <c r="R332" s="4"/>
      <c r="S332" s="4"/>
      <c r="T332" s="4"/>
      <c r="U332" s="4"/>
      <c r="V332" s="4"/>
      <c r="W332" s="4"/>
      <c r="X332" s="4"/>
      <c r="Y332" s="4"/>
      <c r="Z332" s="4"/>
      <c r="AA332" s="4"/>
      <c r="AB332" s="4"/>
      <c r="AC332" s="4"/>
    </row>
    <row r="333" spans="17:29" x14ac:dyDescent="0.25">
      <c r="Q333" s="4"/>
      <c r="R333" s="4"/>
      <c r="S333" s="4"/>
      <c r="T333" s="4"/>
      <c r="U333" s="4"/>
      <c r="V333" s="4"/>
      <c r="W333" s="4"/>
      <c r="X333" s="4"/>
      <c r="Y333" s="4"/>
      <c r="Z333" s="4"/>
      <c r="AA333" s="4"/>
      <c r="AB333" s="4"/>
      <c r="AC333" s="4"/>
    </row>
    <row r="334" spans="17:29" x14ac:dyDescent="0.25">
      <c r="Q334" s="4"/>
      <c r="R334" s="4"/>
      <c r="S334" s="4"/>
      <c r="T334" s="4"/>
      <c r="U334" s="4"/>
      <c r="V334" s="4"/>
      <c r="W334" s="4"/>
      <c r="X334" s="4"/>
      <c r="Y334" s="4"/>
      <c r="Z334" s="4"/>
      <c r="AA334" s="4"/>
      <c r="AB334" s="4"/>
      <c r="AC334" s="4"/>
    </row>
    <row r="335" spans="17:29" x14ac:dyDescent="0.25">
      <c r="Q335" s="4"/>
      <c r="R335" s="4"/>
      <c r="S335" s="4"/>
      <c r="T335" s="4"/>
      <c r="U335" s="4"/>
      <c r="V335" s="4"/>
      <c r="W335" s="4"/>
      <c r="X335" s="4"/>
      <c r="Y335" s="4"/>
      <c r="Z335" s="4"/>
      <c r="AA335" s="4"/>
      <c r="AB335" s="4"/>
      <c r="AC335" s="4"/>
    </row>
    <row r="336" spans="17:29" x14ac:dyDescent="0.25">
      <c r="Q336" s="4"/>
      <c r="R336" s="4"/>
      <c r="S336" s="4"/>
      <c r="T336" s="4"/>
      <c r="U336" s="4"/>
      <c r="V336" s="4"/>
      <c r="W336" s="4"/>
      <c r="X336" s="4"/>
      <c r="Y336" s="4"/>
      <c r="Z336" s="4"/>
      <c r="AA336" s="4"/>
      <c r="AB336" s="4"/>
      <c r="AC336" s="4"/>
    </row>
    <row r="337" spans="17:29" x14ac:dyDescent="0.25">
      <c r="Q337" s="4"/>
      <c r="R337" s="4"/>
      <c r="S337" s="4"/>
      <c r="T337" s="4"/>
      <c r="U337" s="4"/>
      <c r="V337" s="4"/>
      <c r="W337" s="4"/>
      <c r="X337" s="4"/>
      <c r="Y337" s="4"/>
      <c r="Z337" s="4"/>
      <c r="AA337" s="4"/>
      <c r="AB337" s="4"/>
      <c r="AC337" s="4"/>
    </row>
    <row r="338" spans="17:29" x14ac:dyDescent="0.25">
      <c r="Q338" s="4"/>
      <c r="R338" s="4"/>
      <c r="S338" s="4"/>
      <c r="T338" s="4"/>
      <c r="U338" s="4"/>
      <c r="V338" s="4"/>
      <c r="W338" s="4"/>
      <c r="X338" s="4"/>
      <c r="Y338" s="4"/>
      <c r="Z338" s="4"/>
      <c r="AA338" s="4"/>
      <c r="AB338" s="4"/>
      <c r="AC338" s="4"/>
    </row>
    <row r="339" spans="17:29" x14ac:dyDescent="0.25">
      <c r="Q339" s="4"/>
      <c r="R339" s="4"/>
      <c r="S339" s="4"/>
      <c r="T339" s="4"/>
      <c r="U339" s="4"/>
      <c r="V339" s="4"/>
      <c r="W339" s="4"/>
      <c r="X339" s="4"/>
      <c r="Y339" s="4"/>
      <c r="Z339" s="4"/>
      <c r="AA339" s="4"/>
      <c r="AB339" s="4"/>
      <c r="AC339" s="4"/>
    </row>
    <row r="340" spans="17:29" x14ac:dyDescent="0.25">
      <c r="Q340" s="4"/>
      <c r="R340" s="4"/>
      <c r="S340" s="4"/>
      <c r="T340" s="4"/>
      <c r="U340" s="4"/>
      <c r="V340" s="4"/>
      <c r="W340" s="4"/>
      <c r="X340" s="4"/>
      <c r="Y340" s="4"/>
      <c r="Z340" s="4"/>
      <c r="AA340" s="4"/>
      <c r="AB340" s="4"/>
      <c r="AC340" s="4"/>
    </row>
    <row r="341" spans="17:29" x14ac:dyDescent="0.25">
      <c r="Q341" s="4"/>
      <c r="R341" s="4"/>
      <c r="S341" s="4"/>
      <c r="T341" s="4"/>
      <c r="U341" s="4"/>
      <c r="V341" s="4"/>
      <c r="W341" s="4"/>
      <c r="X341" s="4"/>
      <c r="Y341" s="4"/>
      <c r="Z341" s="4"/>
      <c r="AA341" s="4"/>
      <c r="AB341" s="4"/>
      <c r="AC341" s="4"/>
    </row>
    <row r="342" spans="17:29" x14ac:dyDescent="0.25">
      <c r="Q342" s="4"/>
      <c r="R342" s="4"/>
      <c r="S342" s="4"/>
      <c r="T342" s="4"/>
      <c r="U342" s="4"/>
      <c r="V342" s="4"/>
      <c r="W342" s="4"/>
      <c r="X342" s="4"/>
      <c r="Y342" s="4"/>
      <c r="Z342" s="4"/>
      <c r="AA342" s="4"/>
      <c r="AB342" s="4"/>
      <c r="AC342" s="4"/>
    </row>
    <row r="343" spans="17:29" x14ac:dyDescent="0.25">
      <c r="Q343" s="4"/>
      <c r="R343" s="4"/>
      <c r="S343" s="4"/>
      <c r="T343" s="4"/>
      <c r="U343" s="4"/>
      <c r="V343" s="4"/>
      <c r="W343" s="4"/>
      <c r="X343" s="4"/>
      <c r="Y343" s="4"/>
      <c r="Z343" s="4"/>
      <c r="AA343" s="4"/>
      <c r="AB343" s="4"/>
      <c r="AC343" s="4"/>
    </row>
    <row r="344" spans="17:29" x14ac:dyDescent="0.25">
      <c r="Q344" s="4"/>
      <c r="R344" s="4"/>
      <c r="S344" s="4"/>
      <c r="T344" s="4"/>
      <c r="U344" s="4"/>
      <c r="V344" s="4"/>
      <c r="W344" s="4"/>
      <c r="X344" s="4"/>
      <c r="Y344" s="4"/>
      <c r="Z344" s="4"/>
      <c r="AA344" s="4"/>
      <c r="AB344" s="4"/>
      <c r="AC344" s="4"/>
    </row>
    <row r="345" spans="17:29" x14ac:dyDescent="0.25">
      <c r="Q345" s="4"/>
      <c r="R345" s="4"/>
      <c r="S345" s="4"/>
      <c r="T345" s="4"/>
      <c r="U345" s="4"/>
      <c r="V345" s="4"/>
      <c r="W345" s="4"/>
      <c r="X345" s="4"/>
      <c r="Y345" s="4"/>
      <c r="Z345" s="4"/>
      <c r="AA345" s="4"/>
      <c r="AB345" s="4"/>
      <c r="AC345" s="4"/>
    </row>
    <row r="346" spans="17:29" x14ac:dyDescent="0.25">
      <c r="Q346" s="4"/>
      <c r="R346" s="4"/>
      <c r="S346" s="4"/>
      <c r="T346" s="4"/>
      <c r="U346" s="4"/>
      <c r="V346" s="4"/>
      <c r="W346" s="4"/>
      <c r="X346" s="4"/>
      <c r="Y346" s="4"/>
      <c r="Z346" s="4"/>
      <c r="AA346" s="4"/>
      <c r="AB346" s="4"/>
      <c r="AC346" s="4"/>
    </row>
    <row r="347" spans="17:29" x14ac:dyDescent="0.25">
      <c r="Q347" s="4"/>
      <c r="R347" s="4"/>
      <c r="S347" s="4"/>
      <c r="T347" s="4"/>
      <c r="U347" s="4"/>
      <c r="V347" s="4"/>
      <c r="W347" s="4"/>
      <c r="X347" s="4"/>
      <c r="Y347" s="4"/>
      <c r="Z347" s="4"/>
      <c r="AA347" s="4"/>
      <c r="AB347" s="4"/>
      <c r="AC347" s="4"/>
    </row>
    <row r="348" spans="17:29" x14ac:dyDescent="0.25">
      <c r="Q348" s="4"/>
      <c r="R348" s="4"/>
      <c r="S348" s="4"/>
      <c r="T348" s="4"/>
      <c r="U348" s="4"/>
      <c r="V348" s="4"/>
      <c r="W348" s="4"/>
      <c r="X348" s="4"/>
      <c r="Y348" s="4"/>
      <c r="Z348" s="4"/>
      <c r="AA348" s="4"/>
      <c r="AB348" s="4"/>
      <c r="AC348" s="4"/>
    </row>
    <row r="349" spans="17:29" x14ac:dyDescent="0.25">
      <c r="Q349" s="4"/>
      <c r="R349" s="4"/>
      <c r="S349" s="4"/>
      <c r="T349" s="4"/>
      <c r="U349" s="4"/>
      <c r="V349" s="4"/>
      <c r="W349" s="4"/>
      <c r="X349" s="4"/>
      <c r="Y349" s="4"/>
      <c r="Z349" s="4"/>
      <c r="AA349" s="4"/>
      <c r="AB349" s="4"/>
      <c r="AC349" s="4"/>
    </row>
    <row r="350" spans="17:29" x14ac:dyDescent="0.25">
      <c r="Q350" s="4"/>
      <c r="R350" s="4"/>
      <c r="S350" s="4"/>
      <c r="T350" s="4"/>
      <c r="U350" s="4"/>
      <c r="V350" s="4"/>
      <c r="W350" s="4"/>
      <c r="X350" s="4"/>
      <c r="Y350" s="4"/>
      <c r="Z350" s="4"/>
      <c r="AA350" s="4"/>
      <c r="AB350" s="4"/>
      <c r="AC350" s="4"/>
    </row>
    <row r="351" spans="17:29" x14ac:dyDescent="0.25">
      <c r="Q351" s="4"/>
      <c r="R351" s="4"/>
      <c r="S351" s="4"/>
      <c r="T351" s="4"/>
      <c r="U351" s="4"/>
      <c r="V351" s="4"/>
      <c r="W351" s="4"/>
      <c r="X351" s="4"/>
      <c r="Y351" s="4"/>
      <c r="Z351" s="4"/>
      <c r="AA351" s="4"/>
      <c r="AB351" s="4"/>
      <c r="AC351" s="4"/>
    </row>
    <row r="352" spans="17:29" x14ac:dyDescent="0.25">
      <c r="Q352" s="4"/>
      <c r="R352" s="4"/>
      <c r="S352" s="4"/>
      <c r="T352" s="4"/>
      <c r="U352" s="4"/>
      <c r="V352" s="4"/>
      <c r="W352" s="4"/>
      <c r="X352" s="4"/>
      <c r="Y352" s="4"/>
      <c r="Z352" s="4"/>
      <c r="AA352" s="4"/>
      <c r="AB352" s="4"/>
      <c r="AC352" s="4"/>
    </row>
    <row r="353" spans="17:29" x14ac:dyDescent="0.25">
      <c r="Q353" s="4"/>
      <c r="R353" s="4"/>
      <c r="S353" s="4"/>
      <c r="T353" s="4"/>
      <c r="U353" s="4"/>
      <c r="V353" s="4"/>
      <c r="W353" s="4"/>
      <c r="X353" s="4"/>
      <c r="Y353" s="4"/>
      <c r="Z353" s="4"/>
      <c r="AA353" s="4"/>
      <c r="AB353" s="4"/>
      <c r="AC353" s="4"/>
    </row>
    <row r="354" spans="17:29" x14ac:dyDescent="0.25">
      <c r="Q354" s="4"/>
      <c r="R354" s="4"/>
      <c r="S354" s="4"/>
      <c r="T354" s="4"/>
      <c r="U354" s="4"/>
      <c r="V354" s="4"/>
      <c r="W354" s="4"/>
      <c r="X354" s="4"/>
      <c r="Y354" s="4"/>
      <c r="Z354" s="4"/>
      <c r="AA354" s="4"/>
      <c r="AB354" s="4"/>
      <c r="AC354" s="4"/>
    </row>
    <row r="355" spans="17:29" x14ac:dyDescent="0.25">
      <c r="Q355" s="4"/>
      <c r="R355" s="4"/>
      <c r="S355" s="4"/>
      <c r="T355" s="4"/>
      <c r="U355" s="4"/>
      <c r="V355" s="4"/>
      <c r="W355" s="4"/>
      <c r="X355" s="4"/>
      <c r="Y355" s="4"/>
      <c r="Z355" s="4"/>
      <c r="AA355" s="4"/>
      <c r="AB355" s="4"/>
      <c r="AC355" s="4"/>
    </row>
    <row r="356" spans="17:29" x14ac:dyDescent="0.25">
      <c r="Q356" s="4"/>
      <c r="R356" s="4"/>
      <c r="S356" s="4"/>
      <c r="T356" s="4"/>
      <c r="U356" s="4"/>
      <c r="V356" s="4"/>
      <c r="W356" s="4"/>
      <c r="X356" s="4"/>
      <c r="Y356" s="4"/>
      <c r="Z356" s="4"/>
      <c r="AA356" s="4"/>
      <c r="AB356" s="4"/>
      <c r="AC356" s="4"/>
    </row>
    <row r="357" spans="17:29" x14ac:dyDescent="0.25">
      <c r="Q357" s="4"/>
      <c r="R357" s="4"/>
      <c r="S357" s="4"/>
      <c r="T357" s="4"/>
      <c r="U357" s="4"/>
      <c r="V357" s="4"/>
      <c r="W357" s="4"/>
      <c r="X357" s="4"/>
      <c r="Y357" s="4"/>
      <c r="Z357" s="4"/>
      <c r="AA357" s="4"/>
      <c r="AB357" s="4"/>
      <c r="AC357" s="4"/>
    </row>
    <row r="358" spans="17:29" x14ac:dyDescent="0.25">
      <c r="Q358" s="4"/>
      <c r="R358" s="4"/>
      <c r="S358" s="4"/>
      <c r="T358" s="4"/>
      <c r="U358" s="4"/>
      <c r="V358" s="4"/>
      <c r="W358" s="4"/>
      <c r="X358" s="4"/>
      <c r="Y358" s="4"/>
      <c r="Z358" s="4"/>
      <c r="AA358" s="4"/>
      <c r="AB358" s="4"/>
      <c r="AC358" s="4"/>
    </row>
    <row r="359" spans="17:29" x14ac:dyDescent="0.25">
      <c r="Q359" s="4"/>
      <c r="R359" s="4"/>
      <c r="S359" s="4"/>
      <c r="T359" s="4"/>
      <c r="U359" s="4"/>
      <c r="V359" s="4"/>
      <c r="W359" s="4"/>
      <c r="X359" s="4"/>
      <c r="Y359" s="4"/>
      <c r="Z359" s="4"/>
      <c r="AA359" s="4"/>
      <c r="AB359" s="4"/>
      <c r="AC359" s="4"/>
    </row>
    <row r="360" spans="17:29" x14ac:dyDescent="0.25">
      <c r="Q360" s="4"/>
      <c r="R360" s="4"/>
      <c r="S360" s="4"/>
      <c r="T360" s="4"/>
      <c r="U360" s="4"/>
      <c r="V360" s="4"/>
      <c r="W360" s="4"/>
      <c r="X360" s="4"/>
      <c r="Y360" s="4"/>
      <c r="Z360" s="4"/>
      <c r="AA360" s="4"/>
      <c r="AB360" s="4"/>
      <c r="AC360" s="4"/>
    </row>
    <row r="361" spans="17:29" x14ac:dyDescent="0.25">
      <c r="Q361" s="4"/>
      <c r="R361" s="4"/>
      <c r="S361" s="4"/>
      <c r="T361" s="4"/>
      <c r="U361" s="4"/>
      <c r="V361" s="4"/>
      <c r="W361" s="4"/>
      <c r="X361" s="4"/>
      <c r="Y361" s="4"/>
      <c r="Z361" s="4"/>
      <c r="AA361" s="4"/>
      <c r="AB361" s="4"/>
      <c r="AC361" s="4"/>
    </row>
    <row r="362" spans="17:29" x14ac:dyDescent="0.25">
      <c r="Q362" s="4"/>
      <c r="R362" s="4"/>
      <c r="S362" s="4"/>
      <c r="T362" s="4"/>
      <c r="U362" s="4"/>
      <c r="V362" s="4"/>
      <c r="W362" s="4"/>
      <c r="X362" s="4"/>
      <c r="Y362" s="4"/>
      <c r="Z362" s="4"/>
      <c r="AA362" s="4"/>
      <c r="AB362" s="4"/>
      <c r="AC362" s="4"/>
    </row>
    <row r="363" spans="17:29" x14ac:dyDescent="0.25">
      <c r="Q363" s="4"/>
      <c r="R363" s="4"/>
      <c r="S363" s="4"/>
      <c r="T363" s="4"/>
      <c r="U363" s="4"/>
      <c r="V363" s="4"/>
      <c r="W363" s="4"/>
      <c r="X363" s="4"/>
      <c r="Y363" s="4"/>
      <c r="Z363" s="4"/>
      <c r="AA363" s="4"/>
      <c r="AB363" s="4"/>
      <c r="AC363" s="4"/>
    </row>
    <row r="364" spans="17:29" x14ac:dyDescent="0.25">
      <c r="Q364" s="4"/>
      <c r="R364" s="4"/>
      <c r="S364" s="4"/>
      <c r="T364" s="4"/>
      <c r="U364" s="4"/>
      <c r="V364" s="4"/>
      <c r="W364" s="4"/>
      <c r="X364" s="4"/>
      <c r="Y364" s="4"/>
      <c r="Z364" s="4"/>
      <c r="AA364" s="4"/>
      <c r="AB364" s="4"/>
      <c r="AC364" s="4"/>
    </row>
    <row r="365" spans="17:29" x14ac:dyDescent="0.25">
      <c r="Q365" s="4"/>
      <c r="R365" s="4"/>
      <c r="S365" s="4"/>
      <c r="T365" s="4"/>
      <c r="U365" s="4"/>
      <c r="V365" s="4"/>
      <c r="W365" s="4"/>
      <c r="X365" s="4"/>
      <c r="Y365" s="4"/>
      <c r="Z365" s="4"/>
      <c r="AA365" s="4"/>
      <c r="AB365" s="4"/>
      <c r="AC365" s="4"/>
    </row>
    <row r="366" spans="17:29" x14ac:dyDescent="0.25">
      <c r="Q366" s="4"/>
      <c r="R366" s="4"/>
      <c r="S366" s="4"/>
      <c r="T366" s="4"/>
      <c r="U366" s="4"/>
      <c r="V366" s="4"/>
      <c r="W366" s="4"/>
      <c r="X366" s="4"/>
      <c r="Y366" s="4"/>
      <c r="Z366" s="4"/>
      <c r="AA366" s="4"/>
      <c r="AB366" s="4"/>
      <c r="AC366" s="4"/>
    </row>
    <row r="367" spans="17:29" x14ac:dyDescent="0.25">
      <c r="Q367" s="4"/>
      <c r="R367" s="4"/>
      <c r="S367" s="4"/>
      <c r="T367" s="4"/>
      <c r="U367" s="4"/>
      <c r="V367" s="4"/>
      <c r="W367" s="4"/>
      <c r="X367" s="4"/>
      <c r="Y367" s="4"/>
      <c r="Z367" s="4"/>
      <c r="AA367" s="4"/>
      <c r="AB367" s="4"/>
      <c r="AC367" s="4"/>
    </row>
    <row r="368" spans="17:29" x14ac:dyDescent="0.25">
      <c r="Q368" s="4"/>
      <c r="R368" s="4"/>
      <c r="S368" s="4"/>
      <c r="T368" s="4"/>
      <c r="U368" s="4"/>
      <c r="V368" s="4"/>
      <c r="W368" s="4"/>
      <c r="X368" s="4"/>
      <c r="Y368" s="4"/>
      <c r="Z368" s="4"/>
      <c r="AA368" s="4"/>
      <c r="AB368" s="4"/>
      <c r="AC368" s="4"/>
    </row>
    <row r="369" spans="17:29" x14ac:dyDescent="0.25">
      <c r="Q369" s="4"/>
      <c r="R369" s="4"/>
      <c r="S369" s="4"/>
      <c r="T369" s="4"/>
      <c r="U369" s="4"/>
      <c r="V369" s="4"/>
      <c r="W369" s="4"/>
      <c r="X369" s="4"/>
      <c r="Y369" s="4"/>
      <c r="Z369" s="4"/>
      <c r="AA369" s="4"/>
      <c r="AB369" s="4"/>
      <c r="AC369" s="4"/>
    </row>
    <row r="370" spans="17:29" x14ac:dyDescent="0.25">
      <c r="Q370" s="4"/>
      <c r="R370" s="4"/>
      <c r="S370" s="4"/>
      <c r="T370" s="4"/>
      <c r="U370" s="4"/>
      <c r="V370" s="4"/>
      <c r="W370" s="4"/>
      <c r="X370" s="4"/>
      <c r="Y370" s="4"/>
      <c r="Z370" s="4"/>
      <c r="AA370" s="4"/>
      <c r="AB370" s="4"/>
      <c r="AC370" s="4"/>
    </row>
    <row r="371" spans="17:29" x14ac:dyDescent="0.25">
      <c r="Q371" s="4"/>
      <c r="R371" s="4"/>
      <c r="S371" s="4"/>
      <c r="T371" s="4"/>
      <c r="U371" s="4"/>
      <c r="V371" s="4"/>
      <c r="W371" s="4"/>
      <c r="X371" s="4"/>
      <c r="Y371" s="4"/>
      <c r="Z371" s="4"/>
      <c r="AA371" s="4"/>
      <c r="AB371" s="4"/>
      <c r="AC371" s="4"/>
    </row>
    <row r="372" spans="17:29" x14ac:dyDescent="0.25">
      <c r="Q372" s="4"/>
      <c r="R372" s="4"/>
      <c r="S372" s="4"/>
      <c r="T372" s="4"/>
      <c r="U372" s="4"/>
      <c r="V372" s="4"/>
      <c r="W372" s="4"/>
      <c r="X372" s="4"/>
      <c r="Y372" s="4"/>
      <c r="Z372" s="4"/>
      <c r="AA372" s="4"/>
      <c r="AB372" s="4"/>
      <c r="AC372" s="4"/>
    </row>
    <row r="373" spans="17:29" x14ac:dyDescent="0.25">
      <c r="Q373" s="4"/>
      <c r="R373" s="4"/>
      <c r="S373" s="4"/>
      <c r="T373" s="4"/>
      <c r="U373" s="4"/>
      <c r="V373" s="4"/>
      <c r="W373" s="4"/>
      <c r="X373" s="4"/>
      <c r="Y373" s="4"/>
      <c r="Z373" s="4"/>
      <c r="AA373" s="4"/>
      <c r="AB373" s="4"/>
      <c r="AC373" s="4"/>
    </row>
    <row r="374" spans="17:29" x14ac:dyDescent="0.25">
      <c r="Q374" s="4"/>
      <c r="R374" s="4"/>
      <c r="S374" s="4"/>
      <c r="T374" s="4"/>
      <c r="U374" s="4"/>
      <c r="V374" s="4"/>
      <c r="W374" s="4"/>
      <c r="X374" s="4"/>
      <c r="Y374" s="4"/>
      <c r="Z374" s="4"/>
      <c r="AA374" s="4"/>
      <c r="AB374" s="4"/>
      <c r="AC374" s="4"/>
    </row>
    <row r="375" spans="17:29" x14ac:dyDescent="0.25">
      <c r="Q375" s="4"/>
      <c r="R375" s="4"/>
      <c r="S375" s="4"/>
      <c r="T375" s="4"/>
      <c r="U375" s="4"/>
      <c r="V375" s="4"/>
      <c r="W375" s="4"/>
      <c r="X375" s="4"/>
      <c r="Y375" s="4"/>
      <c r="Z375" s="4"/>
      <c r="AA375" s="4"/>
      <c r="AB375" s="4"/>
      <c r="AC375" s="4"/>
    </row>
    <row r="376" spans="17:29" x14ac:dyDescent="0.25">
      <c r="Q376" s="4"/>
      <c r="R376" s="4"/>
      <c r="S376" s="4"/>
      <c r="T376" s="4"/>
      <c r="U376" s="4"/>
      <c r="V376" s="4"/>
      <c r="W376" s="4"/>
      <c r="X376" s="4"/>
      <c r="Y376" s="4"/>
      <c r="Z376" s="4"/>
      <c r="AA376" s="4"/>
      <c r="AB376" s="4"/>
      <c r="AC376" s="4"/>
    </row>
    <row r="377" spans="17:29" x14ac:dyDescent="0.25">
      <c r="Q377" s="4"/>
      <c r="R377" s="4"/>
      <c r="S377" s="4"/>
      <c r="T377" s="4"/>
      <c r="U377" s="4"/>
      <c r="V377" s="4"/>
      <c r="W377" s="4"/>
      <c r="X377" s="4"/>
      <c r="Y377" s="4"/>
      <c r="Z377" s="4"/>
      <c r="AA377" s="4"/>
      <c r="AB377" s="4"/>
      <c r="AC377" s="4"/>
    </row>
    <row r="378" spans="17:29" x14ac:dyDescent="0.25">
      <c r="Q378" s="4"/>
      <c r="R378" s="4"/>
      <c r="S378" s="4"/>
      <c r="T378" s="4"/>
      <c r="U378" s="4"/>
      <c r="V378" s="4"/>
      <c r="W378" s="4"/>
      <c r="X378" s="4"/>
      <c r="Y378" s="4"/>
      <c r="Z378" s="4"/>
      <c r="AA378" s="4"/>
      <c r="AB378" s="4"/>
      <c r="AC378" s="4"/>
    </row>
    <row r="379" spans="17:29" x14ac:dyDescent="0.25">
      <c r="Q379" s="4"/>
      <c r="R379" s="4"/>
      <c r="S379" s="4"/>
      <c r="T379" s="4"/>
      <c r="U379" s="4"/>
      <c r="V379" s="4"/>
      <c r="W379" s="4"/>
      <c r="X379" s="4"/>
      <c r="Y379" s="4"/>
      <c r="Z379" s="4"/>
      <c r="AA379" s="4"/>
      <c r="AB379" s="4"/>
      <c r="AC379" s="4"/>
    </row>
    <row r="380" spans="17:29" x14ac:dyDescent="0.25">
      <c r="Q380" s="4"/>
      <c r="R380" s="4"/>
      <c r="S380" s="4"/>
      <c r="T380" s="4"/>
      <c r="U380" s="4"/>
      <c r="V380" s="4"/>
      <c r="W380" s="4"/>
      <c r="X380" s="4"/>
      <c r="Y380" s="4"/>
      <c r="Z380" s="4"/>
      <c r="AA380" s="4"/>
      <c r="AB380" s="4"/>
      <c r="AC380" s="4"/>
    </row>
    <row r="381" spans="17:29" x14ac:dyDescent="0.25">
      <c r="Q381" s="4"/>
      <c r="R381" s="4"/>
      <c r="S381" s="4"/>
      <c r="T381" s="4"/>
      <c r="U381" s="4"/>
      <c r="V381" s="4"/>
      <c r="W381" s="4"/>
      <c r="X381" s="4"/>
      <c r="Y381" s="4"/>
      <c r="Z381" s="4"/>
      <c r="AA381" s="4"/>
      <c r="AB381" s="4"/>
      <c r="AC381" s="4"/>
    </row>
    <row r="382" spans="17:29" x14ac:dyDescent="0.25">
      <c r="Q382" s="4"/>
      <c r="R382" s="4"/>
      <c r="S382" s="4"/>
      <c r="T382" s="4"/>
      <c r="U382" s="4"/>
      <c r="V382" s="4"/>
      <c r="W382" s="4"/>
      <c r="X382" s="4"/>
      <c r="Y382" s="4"/>
      <c r="Z382" s="4"/>
      <c r="AA382" s="4"/>
      <c r="AB382" s="4"/>
      <c r="AC382" s="4"/>
    </row>
    <row r="383" spans="17:29" x14ac:dyDescent="0.25">
      <c r="Q383" s="4"/>
      <c r="R383" s="4"/>
      <c r="S383" s="4"/>
      <c r="T383" s="4"/>
      <c r="U383" s="4"/>
      <c r="V383" s="4"/>
      <c r="W383" s="4"/>
      <c r="X383" s="4"/>
      <c r="Y383" s="4"/>
      <c r="Z383" s="4"/>
      <c r="AA383" s="4"/>
      <c r="AB383" s="4"/>
      <c r="AC383" s="4"/>
    </row>
    <row r="384" spans="17:29" x14ac:dyDescent="0.25">
      <c r="Q384" s="4"/>
      <c r="R384" s="4"/>
      <c r="S384" s="4"/>
      <c r="T384" s="4"/>
      <c r="U384" s="4"/>
      <c r="V384" s="4"/>
      <c r="W384" s="4"/>
      <c r="X384" s="4"/>
      <c r="Y384" s="4"/>
      <c r="Z384" s="4"/>
      <c r="AA384" s="4"/>
      <c r="AB384" s="4"/>
      <c r="AC384" s="4"/>
    </row>
    <row r="385" spans="17:29" x14ac:dyDescent="0.25">
      <c r="Q385" s="4"/>
      <c r="R385" s="4"/>
      <c r="S385" s="4"/>
      <c r="T385" s="4"/>
      <c r="U385" s="4"/>
      <c r="V385" s="4"/>
      <c r="W385" s="4"/>
      <c r="X385" s="4"/>
      <c r="Y385" s="4"/>
      <c r="Z385" s="4"/>
      <c r="AA385" s="4"/>
      <c r="AB385" s="4"/>
      <c r="AC385" s="4"/>
    </row>
    <row r="386" spans="17:29" x14ac:dyDescent="0.25">
      <c r="Q386" s="4"/>
      <c r="R386" s="4"/>
      <c r="S386" s="4"/>
      <c r="T386" s="4"/>
      <c r="U386" s="4"/>
      <c r="V386" s="4"/>
      <c r="W386" s="4"/>
      <c r="X386" s="4"/>
      <c r="Y386" s="4"/>
      <c r="Z386" s="4"/>
      <c r="AA386" s="4"/>
      <c r="AB386" s="4"/>
      <c r="AC386" s="4"/>
    </row>
    <row r="387" spans="17:29" x14ac:dyDescent="0.25">
      <c r="Q387" s="4"/>
      <c r="R387" s="4"/>
      <c r="S387" s="4"/>
      <c r="T387" s="4"/>
      <c r="U387" s="4"/>
      <c r="V387" s="4"/>
      <c r="W387" s="4"/>
      <c r="X387" s="4"/>
      <c r="Y387" s="4"/>
      <c r="Z387" s="4"/>
      <c r="AA387" s="4"/>
      <c r="AB387" s="4"/>
      <c r="AC387" s="4"/>
    </row>
    <row r="388" spans="17:29" x14ac:dyDescent="0.25">
      <c r="Q388" s="4"/>
      <c r="R388" s="4"/>
      <c r="S388" s="4"/>
      <c r="T388" s="4"/>
      <c r="U388" s="4"/>
      <c r="V388" s="4"/>
      <c r="W388" s="4"/>
      <c r="X388" s="4"/>
      <c r="Y388" s="4"/>
      <c r="Z388" s="4"/>
      <c r="AA388" s="4"/>
      <c r="AB388" s="4"/>
      <c r="AC388" s="4"/>
    </row>
    <row r="389" spans="17:29" x14ac:dyDescent="0.25">
      <c r="Q389" s="4"/>
      <c r="R389" s="4"/>
      <c r="S389" s="4"/>
      <c r="T389" s="4"/>
      <c r="U389" s="4"/>
      <c r="V389" s="4"/>
      <c r="W389" s="4"/>
      <c r="X389" s="4"/>
      <c r="Y389" s="4"/>
      <c r="Z389" s="4"/>
      <c r="AA389" s="4"/>
      <c r="AB389" s="4"/>
      <c r="AC389" s="4"/>
    </row>
    <row r="390" spans="17:29" x14ac:dyDescent="0.25">
      <c r="Q390" s="4"/>
      <c r="R390" s="4"/>
      <c r="S390" s="4"/>
      <c r="T390" s="4"/>
      <c r="U390" s="4"/>
      <c r="V390" s="4"/>
      <c r="W390" s="4"/>
      <c r="X390" s="4"/>
      <c r="Y390" s="4"/>
      <c r="Z390" s="4"/>
      <c r="AA390" s="4"/>
      <c r="AB390" s="4"/>
      <c r="AC390" s="4"/>
    </row>
    <row r="391" spans="17:29" x14ac:dyDescent="0.25">
      <c r="Q391" s="4"/>
      <c r="R391" s="4"/>
      <c r="S391" s="4"/>
      <c r="T391" s="4"/>
      <c r="U391" s="4"/>
      <c r="V391" s="4"/>
      <c r="W391" s="4"/>
      <c r="X391" s="4"/>
      <c r="Y391" s="4"/>
      <c r="Z391" s="4"/>
      <c r="AA391" s="4"/>
      <c r="AB391" s="4"/>
      <c r="AC391" s="4"/>
    </row>
    <row r="392" spans="17:29" x14ac:dyDescent="0.25">
      <c r="Q392" s="4"/>
      <c r="R392" s="4"/>
      <c r="S392" s="4"/>
      <c r="T392" s="4"/>
      <c r="U392" s="4"/>
      <c r="V392" s="4"/>
      <c r="W392" s="4"/>
      <c r="X392" s="4"/>
      <c r="Y392" s="4"/>
      <c r="Z392" s="4"/>
      <c r="AA392" s="4"/>
      <c r="AB392" s="4"/>
      <c r="AC392" s="4"/>
    </row>
    <row r="393" spans="17:29" x14ac:dyDescent="0.25">
      <c r="Q393" s="4"/>
      <c r="R393" s="4"/>
      <c r="S393" s="4"/>
      <c r="T393" s="4"/>
      <c r="U393" s="4"/>
      <c r="V393" s="4"/>
      <c r="W393" s="4"/>
      <c r="X393" s="4"/>
      <c r="Y393" s="4"/>
      <c r="Z393" s="4"/>
      <c r="AA393" s="4"/>
      <c r="AB393" s="4"/>
      <c r="AC393" s="4"/>
    </row>
    <row r="394" spans="17:29" x14ac:dyDescent="0.25">
      <c r="Q394" s="4"/>
      <c r="R394" s="4"/>
      <c r="S394" s="4"/>
      <c r="T394" s="4"/>
      <c r="U394" s="4"/>
      <c r="V394" s="4"/>
      <c r="W394" s="4"/>
      <c r="X394" s="4"/>
      <c r="Y394" s="4"/>
      <c r="Z394" s="4"/>
      <c r="AA394" s="4"/>
      <c r="AB394" s="4"/>
      <c r="AC394" s="4"/>
    </row>
    <row r="395" spans="17:29" x14ac:dyDescent="0.25">
      <c r="Q395" s="4"/>
      <c r="R395" s="4"/>
      <c r="S395" s="4"/>
      <c r="T395" s="4"/>
      <c r="U395" s="4"/>
      <c r="V395" s="4"/>
      <c r="W395" s="4"/>
      <c r="X395" s="4"/>
      <c r="Y395" s="4"/>
      <c r="Z395" s="4"/>
      <c r="AA395" s="4"/>
      <c r="AB395" s="4"/>
      <c r="AC395" s="4"/>
    </row>
    <row r="396" spans="17:29" x14ac:dyDescent="0.25">
      <c r="Q396" s="4"/>
      <c r="R396" s="4"/>
      <c r="S396" s="4"/>
      <c r="T396" s="4"/>
      <c r="U396" s="4"/>
      <c r="V396" s="4"/>
      <c r="W396" s="4"/>
      <c r="X396" s="4"/>
      <c r="Y396" s="4"/>
      <c r="Z396" s="4"/>
      <c r="AA396" s="4"/>
      <c r="AB396" s="4"/>
      <c r="AC396" s="4"/>
    </row>
    <row r="397" spans="17:29" x14ac:dyDescent="0.25">
      <c r="Q397" s="4"/>
      <c r="R397" s="4"/>
      <c r="S397" s="4"/>
      <c r="T397" s="4"/>
      <c r="U397" s="4"/>
      <c r="V397" s="4"/>
      <c r="W397" s="4"/>
      <c r="X397" s="4"/>
      <c r="Y397" s="4"/>
      <c r="Z397" s="4"/>
      <c r="AA397" s="4"/>
      <c r="AB397" s="4"/>
      <c r="AC397" s="4"/>
    </row>
    <row r="398" spans="17:29" x14ac:dyDescent="0.25">
      <c r="Q398" s="4"/>
      <c r="R398" s="4"/>
      <c r="S398" s="4"/>
      <c r="T398" s="4"/>
      <c r="U398" s="4"/>
      <c r="V398" s="4"/>
      <c r="W398" s="4"/>
      <c r="X398" s="4"/>
      <c r="Y398" s="4"/>
      <c r="Z398" s="4"/>
      <c r="AA398" s="4"/>
      <c r="AB398" s="4"/>
      <c r="AC398" s="4"/>
    </row>
    <row r="399" spans="17:29" x14ac:dyDescent="0.25">
      <c r="Q399" s="4"/>
      <c r="R399" s="4"/>
      <c r="S399" s="4"/>
      <c r="T399" s="4"/>
      <c r="U399" s="4"/>
      <c r="V399" s="4"/>
      <c r="W399" s="4"/>
      <c r="X399" s="4"/>
      <c r="Y399" s="4"/>
      <c r="Z399" s="4"/>
      <c r="AA399" s="4"/>
      <c r="AB399" s="4"/>
      <c r="AC399" s="4"/>
    </row>
    <row r="400" spans="17:29" x14ac:dyDescent="0.25">
      <c r="Q400" s="4"/>
      <c r="R400" s="4"/>
      <c r="S400" s="4"/>
      <c r="T400" s="4"/>
      <c r="U400" s="4"/>
      <c r="V400" s="4"/>
      <c r="W400" s="4"/>
      <c r="X400" s="4"/>
      <c r="Y400" s="4"/>
      <c r="Z400" s="4"/>
      <c r="AA400" s="4"/>
      <c r="AB400" s="4"/>
      <c r="AC400" s="4"/>
    </row>
    <row r="401" spans="17:29" x14ac:dyDescent="0.25">
      <c r="Q401" s="4"/>
      <c r="R401" s="4"/>
      <c r="S401" s="4"/>
      <c r="T401" s="4"/>
      <c r="U401" s="4"/>
      <c r="V401" s="4"/>
      <c r="W401" s="4"/>
      <c r="X401" s="4"/>
      <c r="Y401" s="4"/>
      <c r="Z401" s="4"/>
      <c r="AA401" s="4"/>
      <c r="AB401" s="4"/>
      <c r="AC401" s="4"/>
    </row>
    <row r="402" spans="17:29" x14ac:dyDescent="0.25">
      <c r="Q402" s="4"/>
      <c r="R402" s="4"/>
      <c r="S402" s="4"/>
      <c r="T402" s="4"/>
      <c r="U402" s="4"/>
      <c r="V402" s="4"/>
      <c r="W402" s="4"/>
      <c r="X402" s="4"/>
      <c r="Y402" s="4"/>
      <c r="Z402" s="4"/>
      <c r="AA402" s="4"/>
      <c r="AB402" s="4"/>
      <c r="AC402" s="4"/>
    </row>
    <row r="403" spans="17:29" x14ac:dyDescent="0.25">
      <c r="Q403" s="4"/>
      <c r="R403" s="4"/>
      <c r="S403" s="4"/>
      <c r="T403" s="4"/>
      <c r="U403" s="4"/>
      <c r="V403" s="4"/>
      <c r="W403" s="4"/>
      <c r="X403" s="4"/>
      <c r="Y403" s="4"/>
      <c r="Z403" s="4"/>
      <c r="AA403" s="4"/>
      <c r="AB403" s="4"/>
      <c r="AC403" s="4"/>
    </row>
    <row r="404" spans="17:29" x14ac:dyDescent="0.25">
      <c r="Q404" s="4"/>
      <c r="R404" s="4"/>
      <c r="S404" s="4"/>
      <c r="T404" s="4"/>
      <c r="U404" s="4"/>
      <c r="V404" s="4"/>
      <c r="W404" s="4"/>
      <c r="X404" s="4"/>
      <c r="Y404" s="4"/>
      <c r="Z404" s="4"/>
      <c r="AA404" s="4"/>
      <c r="AB404" s="4"/>
      <c r="AC404" s="4"/>
    </row>
    <row r="405" spans="17:29" x14ac:dyDescent="0.25">
      <c r="Q405" s="4"/>
      <c r="R405" s="4"/>
      <c r="S405" s="4"/>
      <c r="T405" s="4"/>
      <c r="U405" s="4"/>
      <c r="V405" s="4"/>
      <c r="W405" s="4"/>
      <c r="X405" s="4"/>
      <c r="Y405" s="4"/>
      <c r="Z405" s="4"/>
      <c r="AA405" s="4"/>
      <c r="AB405" s="4"/>
      <c r="AC405" s="4"/>
    </row>
    <row r="406" spans="17:29" x14ac:dyDescent="0.25">
      <c r="Q406" s="4"/>
      <c r="R406" s="4"/>
      <c r="S406" s="4"/>
      <c r="T406" s="4"/>
      <c r="U406" s="4"/>
      <c r="V406" s="4"/>
      <c r="W406" s="4"/>
      <c r="X406" s="4"/>
      <c r="Y406" s="4"/>
      <c r="Z406" s="4"/>
      <c r="AA406" s="4"/>
      <c r="AB406" s="4"/>
      <c r="AC406" s="4"/>
    </row>
    <row r="407" spans="17:29" x14ac:dyDescent="0.25">
      <c r="Q407" s="4"/>
      <c r="R407" s="4"/>
      <c r="S407" s="4"/>
      <c r="T407" s="4"/>
      <c r="U407" s="4"/>
      <c r="V407" s="4"/>
      <c r="W407" s="4"/>
      <c r="X407" s="4"/>
      <c r="Y407" s="4"/>
      <c r="Z407" s="4"/>
      <c r="AA407" s="4"/>
      <c r="AB407" s="4"/>
      <c r="AC407" s="4"/>
    </row>
    <row r="408" spans="17:29" x14ac:dyDescent="0.25">
      <c r="Q408" s="4"/>
      <c r="R408" s="4"/>
      <c r="S408" s="4"/>
      <c r="T408" s="4"/>
      <c r="U408" s="4"/>
      <c r="V408" s="4"/>
      <c r="W408" s="4"/>
      <c r="X408" s="4"/>
      <c r="Y408" s="4"/>
      <c r="Z408" s="4"/>
      <c r="AA408" s="4"/>
      <c r="AB408" s="4"/>
      <c r="AC408" s="4"/>
    </row>
    <row r="409" spans="17:29" x14ac:dyDescent="0.25">
      <c r="Q409" s="4"/>
      <c r="R409" s="4"/>
      <c r="S409" s="4"/>
      <c r="T409" s="4"/>
      <c r="U409" s="4"/>
      <c r="V409" s="4"/>
      <c r="W409" s="4"/>
      <c r="X409" s="4"/>
      <c r="Y409" s="4"/>
      <c r="Z409" s="4"/>
      <c r="AA409" s="4"/>
      <c r="AB409" s="4"/>
      <c r="AC409" s="4"/>
    </row>
    <row r="410" spans="17:29" x14ac:dyDescent="0.25">
      <c r="Q410" s="4"/>
      <c r="R410" s="4"/>
      <c r="S410" s="4"/>
      <c r="T410" s="4"/>
      <c r="U410" s="4"/>
      <c r="V410" s="4"/>
      <c r="W410" s="4"/>
      <c r="X410" s="4"/>
      <c r="Y410" s="4"/>
      <c r="Z410" s="4"/>
      <c r="AA410" s="4"/>
      <c r="AB410" s="4"/>
      <c r="AC410" s="4"/>
    </row>
    <row r="411" spans="17:29" x14ac:dyDescent="0.25">
      <c r="Q411" s="4"/>
      <c r="R411" s="4"/>
      <c r="S411" s="4"/>
      <c r="T411" s="4"/>
      <c r="U411" s="4"/>
      <c r="V411" s="4"/>
      <c r="W411" s="4"/>
      <c r="X411" s="4"/>
      <c r="Y411" s="4"/>
      <c r="Z411" s="4"/>
      <c r="AA411" s="4"/>
      <c r="AB411" s="4"/>
      <c r="AC411" s="4"/>
    </row>
    <row r="412" spans="17:29" x14ac:dyDescent="0.25">
      <c r="Q412" s="4"/>
      <c r="R412" s="4"/>
      <c r="S412" s="4"/>
      <c r="T412" s="4"/>
      <c r="U412" s="4"/>
      <c r="V412" s="4"/>
      <c r="W412" s="4"/>
      <c r="X412" s="4"/>
      <c r="Y412" s="4"/>
      <c r="Z412" s="4"/>
      <c r="AA412" s="4"/>
      <c r="AB412" s="4"/>
      <c r="AC412" s="4"/>
    </row>
    <row r="413" spans="17:29" x14ac:dyDescent="0.25">
      <c r="Q413" s="4"/>
      <c r="R413" s="4"/>
      <c r="S413" s="4"/>
      <c r="T413" s="4"/>
      <c r="U413" s="4"/>
      <c r="V413" s="4"/>
      <c r="W413" s="4"/>
      <c r="X413" s="4"/>
      <c r="Y413" s="4"/>
      <c r="Z413" s="4"/>
      <c r="AA413" s="4"/>
      <c r="AB413" s="4"/>
      <c r="AC413" s="4"/>
    </row>
    <row r="414" spans="17:29" x14ac:dyDescent="0.25">
      <c r="Q414" s="4"/>
      <c r="R414" s="4"/>
      <c r="S414" s="4"/>
      <c r="T414" s="4"/>
      <c r="U414" s="4"/>
      <c r="V414" s="4"/>
      <c r="W414" s="4"/>
      <c r="X414" s="4"/>
      <c r="Y414" s="4"/>
      <c r="Z414" s="4"/>
      <c r="AA414" s="4"/>
      <c r="AB414" s="4"/>
      <c r="AC414" s="4"/>
    </row>
    <row r="415" spans="17:29" x14ac:dyDescent="0.25">
      <c r="Q415" s="4"/>
      <c r="R415" s="4"/>
      <c r="S415" s="4"/>
      <c r="T415" s="4"/>
      <c r="U415" s="4"/>
      <c r="V415" s="4"/>
      <c r="W415" s="4"/>
      <c r="X415" s="4"/>
      <c r="Y415" s="4"/>
      <c r="Z415" s="4"/>
      <c r="AA415" s="4"/>
      <c r="AB415" s="4"/>
      <c r="AC415" s="4"/>
    </row>
    <row r="416" spans="17:29" x14ac:dyDescent="0.25">
      <c r="Q416" s="4"/>
      <c r="R416" s="4"/>
      <c r="S416" s="4"/>
      <c r="T416" s="4"/>
      <c r="U416" s="4"/>
      <c r="V416" s="4"/>
      <c r="W416" s="4"/>
      <c r="X416" s="4"/>
      <c r="Y416" s="4"/>
      <c r="Z416" s="4"/>
      <c r="AA416" s="4"/>
      <c r="AB416" s="4"/>
      <c r="AC416" s="4"/>
    </row>
    <row r="417" spans="17:29" x14ac:dyDescent="0.25">
      <c r="Q417" s="4"/>
      <c r="R417" s="4"/>
      <c r="S417" s="4"/>
      <c r="T417" s="4"/>
      <c r="U417" s="4"/>
      <c r="V417" s="4"/>
      <c r="W417" s="4"/>
      <c r="X417" s="4"/>
      <c r="Y417" s="4"/>
      <c r="Z417" s="4"/>
      <c r="AA417" s="4"/>
      <c r="AB417" s="4"/>
      <c r="AC417" s="4"/>
    </row>
    <row r="418" spans="17:29" x14ac:dyDescent="0.25">
      <c r="Q418" s="4"/>
      <c r="R418" s="4"/>
      <c r="S418" s="4"/>
      <c r="T418" s="4"/>
      <c r="U418" s="4"/>
      <c r="V418" s="4"/>
      <c r="W418" s="4"/>
      <c r="X418" s="4"/>
      <c r="Y418" s="4"/>
      <c r="Z418" s="4"/>
      <c r="AA418" s="4"/>
      <c r="AB418" s="4"/>
      <c r="AC418" s="4"/>
    </row>
    <row r="419" spans="17:29" x14ac:dyDescent="0.25">
      <c r="Q419" s="4"/>
      <c r="R419" s="4"/>
      <c r="S419" s="4"/>
      <c r="T419" s="4"/>
      <c r="U419" s="4"/>
      <c r="V419" s="4"/>
      <c r="W419" s="4"/>
      <c r="X419" s="4"/>
      <c r="Y419" s="4"/>
      <c r="Z419" s="4"/>
      <c r="AA419" s="4"/>
      <c r="AB419" s="4"/>
      <c r="AC419" s="4"/>
    </row>
    <row r="420" spans="17:29" x14ac:dyDescent="0.25">
      <c r="Q420" s="4"/>
      <c r="R420" s="4"/>
      <c r="S420" s="4"/>
      <c r="T420" s="4"/>
      <c r="U420" s="4"/>
      <c r="V420" s="4"/>
      <c r="W420" s="4"/>
      <c r="X420" s="4"/>
      <c r="Y420" s="4"/>
      <c r="Z420" s="4"/>
      <c r="AA420" s="4"/>
      <c r="AB420" s="4"/>
      <c r="AC420" s="4"/>
    </row>
    <row r="421" spans="17:29" x14ac:dyDescent="0.25">
      <c r="Q421" s="4"/>
      <c r="R421" s="4"/>
      <c r="S421" s="4"/>
      <c r="T421" s="4"/>
      <c r="U421" s="4"/>
      <c r="V421" s="4"/>
      <c r="W421" s="4"/>
      <c r="X421" s="4"/>
      <c r="Y421" s="4"/>
      <c r="Z421" s="4"/>
      <c r="AA421" s="4"/>
      <c r="AB421" s="4"/>
      <c r="AC421" s="4"/>
    </row>
    <row r="422" spans="17:29" x14ac:dyDescent="0.25">
      <c r="Q422" s="4"/>
      <c r="R422" s="4"/>
      <c r="S422" s="4"/>
      <c r="T422" s="4"/>
      <c r="U422" s="4"/>
      <c r="V422" s="4"/>
      <c r="W422" s="4"/>
      <c r="X422" s="4"/>
      <c r="Y422" s="4"/>
      <c r="Z422" s="4"/>
      <c r="AA422" s="4"/>
      <c r="AB422" s="4"/>
      <c r="AC422" s="4"/>
    </row>
    <row r="423" spans="17:29" x14ac:dyDescent="0.25">
      <c r="Q423" s="4"/>
      <c r="R423" s="4"/>
      <c r="S423" s="4"/>
      <c r="T423" s="4"/>
      <c r="U423" s="4"/>
      <c r="V423" s="4"/>
      <c r="W423" s="4"/>
      <c r="X423" s="4"/>
      <c r="Y423" s="4"/>
      <c r="Z423" s="4"/>
      <c r="AA423" s="4"/>
      <c r="AB423" s="4"/>
      <c r="AC423" s="4"/>
    </row>
    <row r="424" spans="17:29" x14ac:dyDescent="0.25">
      <c r="Q424" s="4"/>
      <c r="R424" s="4"/>
      <c r="S424" s="4"/>
      <c r="T424" s="4"/>
      <c r="U424" s="4"/>
      <c r="V424" s="4"/>
      <c r="W424" s="4"/>
      <c r="X424" s="4"/>
      <c r="Y424" s="4"/>
      <c r="Z424" s="4"/>
      <c r="AA424" s="4"/>
      <c r="AB424" s="4"/>
      <c r="AC424" s="4"/>
    </row>
    <row r="425" spans="17:29" x14ac:dyDescent="0.25">
      <c r="Q425" s="4"/>
      <c r="R425" s="4"/>
      <c r="S425" s="4"/>
      <c r="T425" s="4"/>
      <c r="U425" s="4"/>
      <c r="V425" s="4"/>
      <c r="W425" s="4"/>
      <c r="X425" s="4"/>
      <c r="Y425" s="4"/>
      <c r="Z425" s="4"/>
      <c r="AA425" s="4"/>
      <c r="AB425" s="4"/>
      <c r="AC425" s="4"/>
    </row>
    <row r="426" spans="17:29" x14ac:dyDescent="0.25">
      <c r="Q426" s="4"/>
      <c r="R426" s="4"/>
      <c r="S426" s="4"/>
      <c r="T426" s="4"/>
      <c r="U426" s="4"/>
      <c r="V426" s="4"/>
      <c r="W426" s="4"/>
      <c r="X426" s="4"/>
      <c r="Y426" s="4"/>
      <c r="Z426" s="4"/>
      <c r="AA426" s="4"/>
      <c r="AB426" s="4"/>
      <c r="AC426" s="4"/>
    </row>
    <row r="427" spans="17:29" x14ac:dyDescent="0.25">
      <c r="Q427" s="4"/>
      <c r="R427" s="4"/>
      <c r="S427" s="4"/>
      <c r="T427" s="4"/>
      <c r="U427" s="4"/>
      <c r="V427" s="4"/>
      <c r="W427" s="4"/>
      <c r="X427" s="4"/>
      <c r="Y427" s="4"/>
      <c r="Z427" s="4"/>
      <c r="AA427" s="4"/>
      <c r="AB427" s="4"/>
      <c r="AC427" s="4"/>
    </row>
    <row r="428" spans="17:29" x14ac:dyDescent="0.25">
      <c r="Q428" s="4"/>
      <c r="R428" s="4"/>
      <c r="S428" s="4"/>
      <c r="T428" s="4"/>
      <c r="U428" s="4"/>
      <c r="V428" s="4"/>
      <c r="W428" s="4"/>
      <c r="X428" s="4"/>
      <c r="Y428" s="4"/>
      <c r="Z428" s="4"/>
      <c r="AA428" s="4"/>
      <c r="AB428" s="4"/>
      <c r="AC428" s="4"/>
    </row>
    <row r="429" spans="17:29" x14ac:dyDescent="0.25">
      <c r="Q429" s="4"/>
      <c r="R429" s="4"/>
      <c r="S429" s="4"/>
      <c r="T429" s="4"/>
      <c r="U429" s="4"/>
      <c r="V429" s="4"/>
      <c r="W429" s="4"/>
      <c r="X429" s="4"/>
      <c r="Y429" s="4"/>
      <c r="Z429" s="4"/>
      <c r="AA429" s="4"/>
      <c r="AB429" s="4"/>
      <c r="AC429" s="4"/>
    </row>
    <row r="430" spans="17:29" x14ac:dyDescent="0.25">
      <c r="Q430" s="4"/>
      <c r="R430" s="4"/>
      <c r="S430" s="4"/>
      <c r="T430" s="4"/>
      <c r="U430" s="4"/>
      <c r="V430" s="4"/>
      <c r="W430" s="4"/>
      <c r="X430" s="4"/>
      <c r="Y430" s="4"/>
      <c r="Z430" s="4"/>
      <c r="AA430" s="4"/>
      <c r="AB430" s="4"/>
      <c r="AC430" s="4"/>
    </row>
    <row r="431" spans="17:29" x14ac:dyDescent="0.25">
      <c r="Q431" s="4"/>
      <c r="R431" s="4"/>
      <c r="S431" s="4"/>
      <c r="T431" s="4"/>
      <c r="U431" s="4"/>
      <c r="V431" s="4"/>
      <c r="W431" s="4"/>
      <c r="X431" s="4"/>
      <c r="Y431" s="4"/>
      <c r="Z431" s="4"/>
      <c r="AA431" s="4"/>
      <c r="AB431" s="4"/>
      <c r="AC431" s="4"/>
    </row>
    <row r="432" spans="17:29" x14ac:dyDescent="0.25">
      <c r="Q432" s="4"/>
      <c r="R432" s="4"/>
      <c r="S432" s="4"/>
      <c r="T432" s="4"/>
      <c r="U432" s="4"/>
      <c r="V432" s="4"/>
      <c r="W432" s="4"/>
      <c r="X432" s="4"/>
      <c r="Y432" s="4"/>
      <c r="Z432" s="4"/>
      <c r="AA432" s="4"/>
      <c r="AB432" s="4"/>
      <c r="AC432" s="4"/>
    </row>
    <row r="433" spans="17:29" x14ac:dyDescent="0.25">
      <c r="Q433" s="4"/>
      <c r="R433" s="4"/>
      <c r="S433" s="4"/>
      <c r="T433" s="4"/>
      <c r="U433" s="4"/>
      <c r="V433" s="4"/>
      <c r="W433" s="4"/>
      <c r="X433" s="4"/>
      <c r="Y433" s="4"/>
      <c r="Z433" s="4"/>
      <c r="AA433" s="4"/>
      <c r="AB433" s="4"/>
      <c r="AC433" s="4"/>
    </row>
    <row r="434" spans="17:29" x14ac:dyDescent="0.25">
      <c r="Q434" s="4"/>
      <c r="R434" s="4"/>
      <c r="S434" s="4"/>
      <c r="T434" s="4"/>
      <c r="U434" s="4"/>
      <c r="V434" s="4"/>
      <c r="W434" s="4"/>
      <c r="X434" s="4"/>
      <c r="Y434" s="4"/>
      <c r="Z434" s="4"/>
      <c r="AA434" s="4"/>
      <c r="AB434" s="4"/>
      <c r="AC434" s="4"/>
    </row>
    <row r="435" spans="17:29" x14ac:dyDescent="0.25">
      <c r="Q435" s="4"/>
      <c r="R435" s="4"/>
      <c r="S435" s="4"/>
      <c r="T435" s="4"/>
      <c r="U435" s="4"/>
      <c r="V435" s="4"/>
      <c r="W435" s="4"/>
      <c r="X435" s="4"/>
      <c r="Y435" s="4"/>
      <c r="Z435" s="4"/>
      <c r="AA435" s="4"/>
      <c r="AB435" s="4"/>
      <c r="AC435" s="4"/>
    </row>
    <row r="436" spans="17:29" x14ac:dyDescent="0.25">
      <c r="Q436" s="4"/>
      <c r="R436" s="4"/>
      <c r="S436" s="4"/>
      <c r="T436" s="4"/>
      <c r="U436" s="4"/>
      <c r="V436" s="4"/>
      <c r="W436" s="4"/>
      <c r="X436" s="4"/>
      <c r="Y436" s="4"/>
      <c r="Z436" s="4"/>
      <c r="AA436" s="4"/>
      <c r="AB436" s="4"/>
      <c r="AC436" s="4"/>
    </row>
    <row r="437" spans="17:29" x14ac:dyDescent="0.25">
      <c r="Q437" s="4"/>
      <c r="R437" s="4"/>
      <c r="S437" s="4"/>
      <c r="T437" s="4"/>
      <c r="U437" s="4"/>
      <c r="V437" s="4"/>
      <c r="W437" s="4"/>
      <c r="X437" s="4"/>
      <c r="Y437" s="4"/>
      <c r="Z437" s="4"/>
      <c r="AA437" s="4"/>
      <c r="AB437" s="4"/>
      <c r="AC437" s="4"/>
    </row>
    <row r="438" spans="17:29" x14ac:dyDescent="0.25">
      <c r="Q438" s="4"/>
      <c r="R438" s="4"/>
      <c r="S438" s="4"/>
      <c r="T438" s="4"/>
      <c r="U438" s="4"/>
      <c r="V438" s="4"/>
      <c r="W438" s="4"/>
      <c r="X438" s="4"/>
      <c r="Y438" s="4"/>
      <c r="Z438" s="4"/>
      <c r="AA438" s="4"/>
      <c r="AB438" s="4"/>
    </row>
    <row r="439" spans="17:29" x14ac:dyDescent="0.25">
      <c r="Q439" s="4"/>
      <c r="R439" s="4"/>
      <c r="S439" s="4"/>
      <c r="T439" s="4"/>
      <c r="U439" s="4"/>
      <c r="V439" s="4"/>
      <c r="W439" s="4"/>
      <c r="X439" s="4"/>
      <c r="Y439" s="4"/>
      <c r="Z439" s="4"/>
      <c r="AA439" s="4"/>
      <c r="AB439" s="4"/>
    </row>
    <row r="440" spans="17:29" x14ac:dyDescent="0.25">
      <c r="Q440" s="4"/>
      <c r="R440" s="4"/>
      <c r="S440" s="4"/>
      <c r="T440" s="4"/>
      <c r="U440" s="4"/>
      <c r="V440" s="4"/>
      <c r="W440" s="4"/>
      <c r="X440" s="4"/>
      <c r="Y440" s="4"/>
      <c r="Z440" s="4"/>
      <c r="AA440" s="4"/>
      <c r="AB440" s="4"/>
    </row>
    <row r="441" spans="17:29" x14ac:dyDescent="0.25">
      <c r="Q441" s="4"/>
      <c r="R441" s="4"/>
      <c r="S441" s="4"/>
      <c r="T441" s="4"/>
      <c r="U441" s="4"/>
      <c r="V441" s="4"/>
      <c r="W441" s="4"/>
      <c r="X441" s="4"/>
      <c r="Y441" s="4"/>
      <c r="Z441" s="4"/>
      <c r="AA441" s="4"/>
      <c r="AB441" s="4"/>
    </row>
    <row r="442" spans="17:29" x14ac:dyDescent="0.25">
      <c r="Q442" s="4"/>
      <c r="R442" s="4"/>
      <c r="S442" s="4"/>
      <c r="T442" s="4"/>
      <c r="U442" s="4"/>
      <c r="V442" s="4"/>
      <c r="W442" s="4"/>
      <c r="X442" s="4"/>
      <c r="Y442" s="4"/>
      <c r="Z442" s="4"/>
      <c r="AA442" s="4"/>
      <c r="AB442" s="4"/>
    </row>
    <row r="443" spans="17:29" x14ac:dyDescent="0.25">
      <c r="Q443" s="4"/>
      <c r="R443" s="4"/>
      <c r="S443" s="4"/>
      <c r="T443" s="4"/>
      <c r="U443" s="4"/>
      <c r="V443" s="4"/>
      <c r="W443" s="4"/>
      <c r="X443" s="4"/>
      <c r="Y443" s="4"/>
      <c r="Z443" s="4"/>
      <c r="AA443" s="4"/>
      <c r="AB443" s="4"/>
    </row>
    <row r="444" spans="17:29" x14ac:dyDescent="0.25">
      <c r="Q444" s="4"/>
      <c r="R444" s="4"/>
      <c r="S444" s="4"/>
      <c r="T444" s="4"/>
      <c r="U444" s="4"/>
      <c r="V444" s="4"/>
      <c r="W444" s="4"/>
      <c r="X444" s="4"/>
      <c r="Y444" s="4"/>
      <c r="Z444" s="4"/>
      <c r="AA444" s="4"/>
    </row>
    <row r="445" spans="17:29" x14ac:dyDescent="0.25">
      <c r="Q445" s="4"/>
      <c r="R445" s="4"/>
      <c r="S445" s="4"/>
      <c r="T445" s="4"/>
      <c r="U445" s="4"/>
      <c r="V445" s="4"/>
      <c r="W445" s="4"/>
      <c r="X445" s="4"/>
      <c r="Y445" s="4"/>
      <c r="Z445" s="4"/>
      <c r="AA445" s="4"/>
    </row>
    <row r="446" spans="17:29" x14ac:dyDescent="0.25">
      <c r="Q446" s="4"/>
      <c r="R446" s="4"/>
      <c r="S446" s="4"/>
      <c r="T446" s="4"/>
      <c r="U446" s="4"/>
      <c r="V446" s="4"/>
      <c r="W446" s="4"/>
      <c r="X446" s="4"/>
      <c r="Y446" s="4"/>
      <c r="Z446" s="4"/>
      <c r="AA446" s="4"/>
    </row>
    <row r="447" spans="17:29" x14ac:dyDescent="0.25">
      <c r="Q447" s="4"/>
      <c r="R447" s="4"/>
      <c r="S447" s="4"/>
      <c r="T447" s="4"/>
      <c r="U447" s="4"/>
      <c r="V447" s="4"/>
      <c r="W447" s="4"/>
      <c r="X447" s="4"/>
      <c r="Y447" s="4"/>
    </row>
    <row r="448" spans="17:29" x14ac:dyDescent="0.25">
      <c r="Q448" s="4"/>
      <c r="R448" s="4"/>
      <c r="S448" s="4"/>
      <c r="T448" s="4"/>
      <c r="U448" s="4"/>
      <c r="V448" s="4"/>
      <c r="W448" s="4"/>
      <c r="X448" s="4"/>
      <c r="Y448" s="4"/>
    </row>
    <row r="449" spans="17:24" x14ac:dyDescent="0.25">
      <c r="Q449" s="4"/>
      <c r="R449" s="4"/>
      <c r="S449" s="4"/>
      <c r="T449" s="4"/>
      <c r="U449" s="4"/>
      <c r="V449" s="4"/>
      <c r="W449" s="4"/>
      <c r="X449" s="4"/>
    </row>
    <row r="450" spans="17:24" x14ac:dyDescent="0.25">
      <c r="Q450" s="4"/>
      <c r="R450" s="4"/>
      <c r="S450" s="4"/>
      <c r="T450" s="4"/>
      <c r="U450" s="4"/>
      <c r="V450" s="4"/>
    </row>
    <row r="451" spans="17:24" x14ac:dyDescent="0.25">
      <c r="Q451" s="4"/>
      <c r="R451" s="4"/>
      <c r="S451" s="4"/>
      <c r="T451" s="4"/>
      <c r="U451" s="4"/>
      <c r="V451" s="4"/>
    </row>
    <row r="452" spans="17:24" x14ac:dyDescent="0.25">
      <c r="Q452" s="4"/>
      <c r="R452" s="4"/>
      <c r="S452" s="4"/>
      <c r="T452" s="4"/>
      <c r="U452" s="4"/>
    </row>
  </sheetData>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B16"/>
  <sheetViews>
    <sheetView topLeftCell="A7" workbookViewId="0">
      <selection activeCell="E19" sqref="E19"/>
    </sheetView>
  </sheetViews>
  <sheetFormatPr defaultRowHeight="15" x14ac:dyDescent="0.25"/>
  <cols>
    <col min="1" max="1" width="18.140625" bestFit="1" customWidth="1"/>
    <col min="2" max="2" width="12.140625" bestFit="1" customWidth="1"/>
    <col min="3" max="3" width="18.85546875" bestFit="1" customWidth="1"/>
    <col min="6" max="6" width="18.140625" bestFit="1" customWidth="1"/>
    <col min="7" max="7" width="7.28515625" bestFit="1" customWidth="1"/>
    <col min="9" max="9" width="7" bestFit="1" customWidth="1"/>
  </cols>
  <sheetData>
    <row r="1" spans="1:28" x14ac:dyDescent="0.25">
      <c r="A1" s="27" t="s">
        <v>55</v>
      </c>
      <c r="B1" s="27" t="s">
        <v>74</v>
      </c>
      <c r="C1" s="27" t="s">
        <v>77</v>
      </c>
      <c r="D1" s="27" t="s">
        <v>25</v>
      </c>
      <c r="F1" s="27" t="s">
        <v>55</v>
      </c>
      <c r="G1" s="27" t="s">
        <v>47</v>
      </c>
      <c r="H1" s="27" t="s">
        <v>76</v>
      </c>
      <c r="I1" s="27" t="s">
        <v>25</v>
      </c>
    </row>
    <row r="2" spans="1:28" x14ac:dyDescent="0.25">
      <c r="A2" s="24" t="s">
        <v>58</v>
      </c>
      <c r="B2" s="26">
        <v>0.20332948624536681</v>
      </c>
      <c r="C2" s="18">
        <v>5427.31</v>
      </c>
      <c r="D2" s="18">
        <v>1500</v>
      </c>
      <c r="F2" s="24" t="s">
        <v>56</v>
      </c>
      <c r="G2" s="25">
        <v>100</v>
      </c>
      <c r="H2" s="25">
        <v>100</v>
      </c>
      <c r="I2" s="25">
        <v>100</v>
      </c>
    </row>
    <row r="3" spans="1:28" x14ac:dyDescent="0.25">
      <c r="A3" s="24" t="s">
        <v>58</v>
      </c>
      <c r="B3" s="26">
        <v>0.14908016856773287</v>
      </c>
      <c r="C3" s="18">
        <v>5427.31</v>
      </c>
      <c r="D3" s="18">
        <v>2000</v>
      </c>
      <c r="F3" s="24" t="s">
        <v>57</v>
      </c>
      <c r="G3" s="26">
        <v>-0.38323889862696514</v>
      </c>
      <c r="H3" s="18">
        <v>4452</v>
      </c>
      <c r="I3" s="18">
        <v>5700</v>
      </c>
    </row>
    <row r="4" spans="1:28" x14ac:dyDescent="0.25">
      <c r="A4" s="24" t="s">
        <v>58</v>
      </c>
      <c r="B4" s="26">
        <v>0.10783774343224392</v>
      </c>
      <c r="C4" s="18">
        <v>5427.31</v>
      </c>
      <c r="D4" s="18">
        <v>2500</v>
      </c>
      <c r="F4" s="24" t="s">
        <v>58</v>
      </c>
      <c r="G4" s="26">
        <v>1.0040504927914156E-2</v>
      </c>
      <c r="H4" s="18">
        <v>5427.31</v>
      </c>
      <c r="I4" s="18">
        <v>5700</v>
      </c>
    </row>
    <row r="5" spans="1:28" x14ac:dyDescent="0.25">
      <c r="A5" s="24" t="s">
        <v>58</v>
      </c>
      <c r="B5" s="26">
        <v>7.7104723118323684E-2</v>
      </c>
      <c r="C5" s="18">
        <v>5427.31</v>
      </c>
      <c r="D5" s="18">
        <v>3000</v>
      </c>
      <c r="F5" s="24" t="s">
        <v>59</v>
      </c>
      <c r="G5" s="26">
        <v>1.9542963146312364E-15</v>
      </c>
      <c r="H5" s="18">
        <v>5204</v>
      </c>
      <c r="I5" s="18">
        <v>5700</v>
      </c>
    </row>
    <row r="6" spans="1:28" x14ac:dyDescent="0.25">
      <c r="A6" s="24" t="s">
        <v>58</v>
      </c>
      <c r="B6" s="26">
        <v>5.4502923754240908E-2</v>
      </c>
      <c r="C6" s="18">
        <v>5427.31</v>
      </c>
      <c r="D6" s="18">
        <v>3500</v>
      </c>
      <c r="F6" s="24" t="s">
        <v>60</v>
      </c>
      <c r="G6" s="26" t="s">
        <v>70</v>
      </c>
      <c r="H6" s="18">
        <v>5704</v>
      </c>
      <c r="I6" s="18">
        <v>5700</v>
      </c>
    </row>
    <row r="7" spans="1:28" x14ac:dyDescent="0.25">
      <c r="A7" s="24" t="s">
        <v>58</v>
      </c>
      <c r="B7" s="26">
        <v>3.8293043918675003E-2</v>
      </c>
      <c r="C7" s="18">
        <v>5427.31</v>
      </c>
      <c r="D7" s="18">
        <v>4000</v>
      </c>
      <c r="F7" s="24" t="s">
        <v>61</v>
      </c>
      <c r="G7" s="26">
        <v>1.7847784638416232E-2</v>
      </c>
      <c r="H7" s="18">
        <v>1837.6738793288857</v>
      </c>
      <c r="I7" s="18">
        <v>0</v>
      </c>
      <c r="S7">
        <v>0</v>
      </c>
      <c r="V7">
        <v>0</v>
      </c>
      <c r="Y7">
        <v>0</v>
      </c>
      <c r="AB7">
        <v>0</v>
      </c>
    </row>
    <row r="8" spans="1:28" x14ac:dyDescent="0.25">
      <c r="A8" s="24" t="s">
        <v>58</v>
      </c>
      <c r="B8" s="26">
        <v>2.6449344997459809E-2</v>
      </c>
      <c r="C8" s="18">
        <v>5427.31</v>
      </c>
      <c r="D8" s="18">
        <v>4500</v>
      </c>
      <c r="F8" s="24" t="s">
        <v>62</v>
      </c>
      <c r="G8" s="26">
        <v>3.1854341649928636E-4</v>
      </c>
      <c r="H8" s="18">
        <v>3377045.2867676765</v>
      </c>
      <c r="I8" s="18">
        <v>0</v>
      </c>
      <c r="S8">
        <v>0</v>
      </c>
      <c r="V8">
        <v>0</v>
      </c>
      <c r="Y8">
        <v>0</v>
      </c>
      <c r="AB8">
        <v>0</v>
      </c>
    </row>
    <row r="9" spans="1:28" x14ac:dyDescent="0.25">
      <c r="A9" s="24" t="s">
        <v>58</v>
      </c>
      <c r="B9" s="26">
        <v>1.7978834925793139E-2</v>
      </c>
      <c r="C9" s="18">
        <v>5427.31</v>
      </c>
      <c r="D9" s="18">
        <v>5000</v>
      </c>
      <c r="F9" s="24" t="s">
        <v>63</v>
      </c>
      <c r="G9" s="17">
        <v>1.7109084388923561</v>
      </c>
      <c r="H9" s="26">
        <v>0.53202379973006275</v>
      </c>
      <c r="I9" s="28" t="s">
        <v>70</v>
      </c>
      <c r="S9">
        <v>0</v>
      </c>
      <c r="V9">
        <v>0</v>
      </c>
      <c r="Y9">
        <v>0</v>
      </c>
      <c r="AB9">
        <v>0</v>
      </c>
    </row>
    <row r="10" spans="1:28" x14ac:dyDescent="0.25">
      <c r="A10" s="24" t="s">
        <v>58</v>
      </c>
      <c r="B10" s="26">
        <v>1.1998946096545398E-2</v>
      </c>
      <c r="C10" s="18">
        <v>5427.31</v>
      </c>
      <c r="D10" s="18">
        <v>5500</v>
      </c>
      <c r="F10" s="24" t="s">
        <v>64</v>
      </c>
      <c r="G10" s="17">
        <v>4.7686064934767822</v>
      </c>
      <c r="H10" s="17">
        <v>2.5018366993559646</v>
      </c>
      <c r="I10" s="28" t="s">
        <v>70</v>
      </c>
      <c r="S10">
        <v>0</v>
      </c>
      <c r="V10">
        <v>0</v>
      </c>
      <c r="Y10">
        <v>0</v>
      </c>
      <c r="AB10">
        <v>0</v>
      </c>
    </row>
    <row r="11" spans="1:28" x14ac:dyDescent="0.25">
      <c r="A11" s="24" t="s">
        <v>58</v>
      </c>
      <c r="B11" s="26">
        <v>1.0040504927914156E-2</v>
      </c>
      <c r="C11" s="18">
        <v>5427.31</v>
      </c>
      <c r="D11" s="18">
        <v>5700</v>
      </c>
      <c r="F11" s="24" t="s">
        <v>65</v>
      </c>
      <c r="G11" s="17">
        <v>1.777578395365021</v>
      </c>
      <c r="H11" s="26">
        <v>0.33859755188645674</v>
      </c>
      <c r="I11" s="29">
        <v>0</v>
      </c>
      <c r="S11">
        <v>0</v>
      </c>
      <c r="V11">
        <v>0</v>
      </c>
      <c r="Y11">
        <v>0</v>
      </c>
      <c r="AB11">
        <v>0</v>
      </c>
    </row>
    <row r="12" spans="1:28" x14ac:dyDescent="0.25">
      <c r="A12" s="24" t="s">
        <v>58</v>
      </c>
      <c r="B12" s="26">
        <v>7.7026734300734631E-3</v>
      </c>
      <c r="C12" s="18">
        <v>5427.31</v>
      </c>
      <c r="D12" s="18">
        <v>6000</v>
      </c>
      <c r="F12" s="24" t="s">
        <v>66</v>
      </c>
      <c r="G12" s="26">
        <v>-5.6313925436923484E-15</v>
      </c>
      <c r="H12" s="18">
        <v>2149</v>
      </c>
      <c r="I12" s="18">
        <v>5700</v>
      </c>
      <c r="S12">
        <v>0</v>
      </c>
      <c r="V12">
        <v>0</v>
      </c>
      <c r="Y12">
        <v>0</v>
      </c>
      <c r="AB12">
        <v>0</v>
      </c>
    </row>
    <row r="13" spans="1:28" x14ac:dyDescent="0.25">
      <c r="A13" s="24" t="s">
        <v>58</v>
      </c>
      <c r="B13" s="26">
        <v>4.8733961509320007E-3</v>
      </c>
      <c r="C13" s="18">
        <v>5427.31</v>
      </c>
      <c r="D13" s="18">
        <v>6500</v>
      </c>
      <c r="F13" s="24" t="s">
        <v>67</v>
      </c>
      <c r="G13" s="26">
        <v>7.3321550002475727E-2</v>
      </c>
      <c r="H13" s="18">
        <v>10495</v>
      </c>
      <c r="I13" s="18">
        <v>5700</v>
      </c>
      <c r="S13">
        <v>0</v>
      </c>
      <c r="V13">
        <v>0</v>
      </c>
      <c r="Y13">
        <v>0</v>
      </c>
      <c r="AB13">
        <v>0</v>
      </c>
    </row>
    <row r="14" spans="1:28" x14ac:dyDescent="0.25">
      <c r="A14" s="24" t="s">
        <v>58</v>
      </c>
      <c r="B14" s="26">
        <v>2.8895615327019881E-3</v>
      </c>
      <c r="C14" s="18">
        <v>5427.31</v>
      </c>
      <c r="D14" s="18">
        <v>7000</v>
      </c>
      <c r="F14" s="24" t="s">
        <v>68</v>
      </c>
      <c r="G14" s="26">
        <v>7.3321550002481362E-2</v>
      </c>
      <c r="H14" s="18">
        <v>8346</v>
      </c>
      <c r="I14" s="18">
        <v>0</v>
      </c>
      <c r="S14">
        <v>0</v>
      </c>
      <c r="V14">
        <v>0</v>
      </c>
      <c r="Y14">
        <v>0</v>
      </c>
      <c r="AB14">
        <v>0</v>
      </c>
    </row>
    <row r="15" spans="1:28" x14ac:dyDescent="0.25">
      <c r="A15" s="24" t="s">
        <v>58</v>
      </c>
      <c r="B15" s="26">
        <v>1.5605423726710505E-3</v>
      </c>
      <c r="C15" s="18">
        <v>5427.31</v>
      </c>
      <c r="D15" s="18">
        <v>7500</v>
      </c>
      <c r="F15" s="24" t="s">
        <v>69</v>
      </c>
      <c r="G15" s="26">
        <v>1.7847784638416232E-3</v>
      </c>
      <c r="H15" s="18">
        <v>183.76738793288857</v>
      </c>
      <c r="I15" s="18">
        <v>0</v>
      </c>
      <c r="S15">
        <v>0</v>
      </c>
      <c r="V15">
        <v>0</v>
      </c>
      <c r="Y15">
        <v>0</v>
      </c>
      <c r="AB15">
        <v>0</v>
      </c>
    </row>
    <row r="16" spans="1:28" x14ac:dyDescent="0.25">
      <c r="S16">
        <v>0</v>
      </c>
      <c r="V16">
        <v>0</v>
      </c>
      <c r="Y16">
        <v>0</v>
      </c>
      <c r="AB16">
        <v>0</v>
      </c>
    </row>
  </sheetData>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15"/>
  <sheetViews>
    <sheetView workbookViewId="0"/>
  </sheetViews>
  <sheetFormatPr defaultRowHeight="15" x14ac:dyDescent="0.25"/>
  <sheetData>
    <row r="1" spans="1:2" x14ac:dyDescent="0.25">
      <c r="A1">
        <v>1</v>
      </c>
    </row>
    <row r="2" spans="1:2" x14ac:dyDescent="0.25">
      <c r="A2" t="s">
        <v>43</v>
      </c>
    </row>
    <row r="3" spans="1:2" x14ac:dyDescent="0.25">
      <c r="A3">
        <v>1</v>
      </c>
    </row>
    <row r="4" spans="1:2" x14ac:dyDescent="0.25">
      <c r="A4">
        <v>0</v>
      </c>
    </row>
    <row r="5" spans="1:2" x14ac:dyDescent="0.25">
      <c r="A5">
        <v>1</v>
      </c>
    </row>
    <row r="6" spans="1:2" x14ac:dyDescent="0.25">
      <c r="A6">
        <v>0.05</v>
      </c>
    </row>
    <row r="8" spans="1:2" x14ac:dyDescent="0.25">
      <c r="A8" s="6"/>
      <c r="B8" s="6"/>
    </row>
    <row r="9" spans="1:2" x14ac:dyDescent="0.25">
      <c r="A9" t="s">
        <v>44</v>
      </c>
    </row>
    <row r="10" spans="1:2" x14ac:dyDescent="0.25">
      <c r="A10" t="s">
        <v>45</v>
      </c>
    </row>
    <row r="15" spans="1:2" x14ac:dyDescent="0.25">
      <c r="B15" s="6"/>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B15"/>
  <sheetViews>
    <sheetView workbookViewId="0"/>
  </sheetViews>
  <sheetFormatPr defaultRowHeight="15" x14ac:dyDescent="0.25"/>
  <sheetData>
    <row r="1" spans="1:2" x14ac:dyDescent="0.25">
      <c r="A1">
        <v>1</v>
      </c>
    </row>
    <row r="2" spans="1:2" x14ac:dyDescent="0.25">
      <c r="A2" t="s">
        <v>23</v>
      </c>
    </row>
    <row r="3" spans="1:2" x14ac:dyDescent="0.25">
      <c r="A3">
        <v>1</v>
      </c>
    </row>
    <row r="4" spans="1:2" x14ac:dyDescent="0.25">
      <c r="A4">
        <v>100</v>
      </c>
    </row>
    <row r="5" spans="1:2" x14ac:dyDescent="0.25">
      <c r="A5">
        <v>1000</v>
      </c>
    </row>
    <row r="6" spans="1:2" x14ac:dyDescent="0.25">
      <c r="A6">
        <v>100</v>
      </c>
    </row>
    <row r="8" spans="1:2" x14ac:dyDescent="0.25">
      <c r="A8" s="6"/>
      <c r="B8" s="6"/>
    </row>
    <row r="9" spans="1:2" x14ac:dyDescent="0.25">
      <c r="A9" t="s">
        <v>24</v>
      </c>
    </row>
    <row r="10" spans="1:2" x14ac:dyDescent="0.25">
      <c r="A10" t="s">
        <v>25</v>
      </c>
    </row>
    <row r="15" spans="1:2" x14ac:dyDescent="0.25">
      <c r="B15" s="6"/>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Borough Data</vt:lpstr>
      <vt:lpstr>Model</vt:lpstr>
      <vt:lpstr>Data</vt:lpstr>
    </vt:vector>
  </TitlesOfParts>
  <Company>NYU Stern School of Business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kja324</dc:creator>
  <cp:lastModifiedBy>kja324</cp:lastModifiedBy>
  <dcterms:created xsi:type="dcterms:W3CDTF">2020-05-04T18:04:48Z</dcterms:created>
  <dcterms:modified xsi:type="dcterms:W3CDTF">2020-05-09T20:56:12Z</dcterms:modified>
</cp:coreProperties>
</file>